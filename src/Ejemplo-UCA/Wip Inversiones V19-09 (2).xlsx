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lla_garcia\Documents\stella\Documentos\FINANZAS\Oracle - Procedimientos\"/>
    </mc:Choice>
  </mc:AlternateContent>
  <xr:revisionPtr revIDLastSave="0" documentId="13_ncr:1_{7EF7BE7C-DC21-4A8A-A06B-BAB9BC9A83B5}" xr6:coauthVersionLast="47" xr6:coauthVersionMax="47" xr10:uidLastSave="{00000000-0000-0000-0000-000000000000}"/>
  <bookViews>
    <workbookView xWindow="-120" yWindow="-120" windowWidth="20730" windowHeight="11160" activeTab="3" xr2:uid="{92801327-6319-4FB3-876D-9C06F91183F5}"/>
  </bookViews>
  <sheets>
    <sheet name="MEP" sheetId="1" r:id="rId1"/>
    <sheet name="PF" sheetId="2" r:id="rId2"/>
    <sheet name="FF" sheetId="3" r:id="rId3"/>
    <sheet name="Inversiones no corrientes" sheetId="4" r:id="rId4"/>
    <sheet name="CASH" sheetId="5" r:id="rId5"/>
    <sheet name="Fundraising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3" i="5" l="1"/>
  <c r="H5" i="6" l="1"/>
  <c r="G69" i="6"/>
  <c r="G67" i="6"/>
  <c r="G65" i="6"/>
  <c r="G64" i="6"/>
  <c r="G62" i="6"/>
  <c r="G61" i="6"/>
  <c r="G59" i="6"/>
  <c r="G58" i="6"/>
  <c r="G57" i="6"/>
  <c r="G56" i="6"/>
  <c r="G55" i="6"/>
  <c r="G53" i="6"/>
  <c r="G52" i="6"/>
  <c r="G51" i="6"/>
  <c r="G49" i="6"/>
  <c r="G48" i="6"/>
  <c r="G47" i="6"/>
  <c r="G46" i="6"/>
  <c r="G45" i="6"/>
  <c r="G43" i="6"/>
  <c r="G41" i="6"/>
  <c r="G40" i="6"/>
  <c r="G39" i="6"/>
  <c r="G38" i="6"/>
  <c r="G37" i="6"/>
  <c r="G36" i="6"/>
  <c r="G35" i="6"/>
  <c r="G34" i="6"/>
  <c r="G33" i="6"/>
  <c r="G32" i="6"/>
  <c r="G31" i="6"/>
  <c r="G30" i="6"/>
  <c r="G28" i="6"/>
  <c r="G27" i="6"/>
  <c r="G25" i="6"/>
  <c r="I23" i="6" l="1"/>
  <c r="I10" i="5" l="1"/>
  <c r="I9" i="5"/>
  <c r="I8" i="5"/>
  <c r="I7" i="5"/>
  <c r="I6" i="5"/>
  <c r="I5" i="5"/>
  <c r="I4" i="5"/>
  <c r="F43" i="3" l="1"/>
  <c r="E42" i="3"/>
  <c r="F82" i="2"/>
  <c r="F81" i="2"/>
  <c r="E71" i="2"/>
  <c r="E80" i="2" l="1"/>
  <c r="E76" i="2" l="1"/>
  <c r="F77" i="2" s="1"/>
  <c r="E72" i="2"/>
  <c r="F83" i="2" l="1"/>
  <c r="N28" i="1"/>
  <c r="F75" i="3" l="1"/>
  <c r="C62" i="3"/>
  <c r="F35" i="1"/>
  <c r="E34" i="1"/>
  <c r="E27" i="1"/>
  <c r="F18" i="1"/>
  <c r="E17" i="1"/>
  <c r="G140" i="4"/>
  <c r="G139" i="4"/>
  <c r="H118" i="4"/>
  <c r="H117" i="4"/>
  <c r="H112" i="4"/>
  <c r="H111" i="4"/>
  <c r="H110" i="4"/>
  <c r="H109" i="4"/>
  <c r="H108" i="4"/>
  <c r="H107" i="4"/>
  <c r="H106" i="4"/>
  <c r="H105" i="4"/>
  <c r="H101" i="4"/>
  <c r="H100" i="4"/>
  <c r="H99" i="4"/>
  <c r="H98" i="4"/>
  <c r="H97" i="4"/>
  <c r="H96" i="4"/>
  <c r="H95" i="4"/>
  <c r="H94" i="4"/>
  <c r="H91" i="4"/>
  <c r="H93" i="4"/>
  <c r="H92" i="4"/>
  <c r="H90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6" i="4"/>
  <c r="H115" i="4"/>
  <c r="H114" i="4"/>
  <c r="H113" i="4"/>
  <c r="H104" i="4"/>
  <c r="H103" i="4"/>
  <c r="H102" i="4"/>
  <c r="H89" i="4"/>
  <c r="H88" i="4"/>
  <c r="H87" i="4"/>
  <c r="H86" i="4"/>
  <c r="H85" i="4"/>
  <c r="H84" i="4"/>
  <c r="H83" i="4"/>
  <c r="H82" i="4"/>
  <c r="H81" i="4"/>
  <c r="H80" i="4"/>
  <c r="H79" i="4"/>
  <c r="H78" i="4"/>
  <c r="H75" i="4"/>
  <c r="H74" i="4"/>
  <c r="H73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48" i="4"/>
  <c r="H47" i="4"/>
  <c r="H46" i="4"/>
  <c r="H45" i="4"/>
  <c r="H44" i="4"/>
  <c r="H43" i="4"/>
  <c r="H42" i="4"/>
  <c r="H41" i="4"/>
  <c r="H36" i="4"/>
  <c r="H35" i="4"/>
  <c r="H34" i="4"/>
  <c r="H32" i="4"/>
  <c r="H31" i="4"/>
  <c r="H30" i="4"/>
  <c r="H33" i="4"/>
  <c r="H27" i="4"/>
  <c r="H26" i="4"/>
  <c r="H25" i="4"/>
  <c r="H24" i="4"/>
  <c r="H22" i="4"/>
  <c r="H23" i="4"/>
  <c r="H21" i="4"/>
  <c r="H20" i="4"/>
  <c r="H19" i="4"/>
  <c r="H18" i="4"/>
  <c r="H17" i="4"/>
  <c r="H16" i="4"/>
  <c r="H12" i="4"/>
  <c r="H10" i="4"/>
  <c r="H13" i="4"/>
  <c r="H11" i="4"/>
  <c r="H9" i="4"/>
  <c r="H8" i="4"/>
  <c r="H5" i="4"/>
  <c r="J135" i="4" l="1"/>
  <c r="I72" i="4"/>
  <c r="I77" i="4"/>
  <c r="I41" i="4"/>
  <c r="I15" i="4"/>
  <c r="I7" i="4"/>
  <c r="J38" i="4" l="1"/>
  <c r="J3" i="4"/>
  <c r="M41" i="3" l="1"/>
  <c r="K54" i="3"/>
  <c r="I54" i="3"/>
  <c r="I56" i="3" s="1"/>
  <c r="K49" i="3"/>
  <c r="I49" i="3"/>
  <c r="I34" i="3"/>
  <c r="I21" i="3"/>
  <c r="L25" i="3" s="1"/>
  <c r="M49" i="3" l="1"/>
  <c r="L60" i="3" s="1"/>
  <c r="K56" i="3"/>
  <c r="M56" i="3" s="1"/>
  <c r="L61" i="3" s="1"/>
  <c r="M26" i="3"/>
  <c r="L39" i="3"/>
  <c r="B63" i="3"/>
  <c r="F68" i="3" s="1"/>
  <c r="B51" i="3"/>
  <c r="F56" i="3" s="1"/>
  <c r="B38" i="3"/>
  <c r="B26" i="3"/>
  <c r="E30" i="3" s="1"/>
  <c r="M62" i="3" l="1"/>
  <c r="F31" i="3"/>
  <c r="E67" i="3"/>
  <c r="E55" i="3"/>
  <c r="E31" i="2" l="1"/>
  <c r="E59" i="2" s="1"/>
  <c r="F29" i="1"/>
  <c r="E28" i="1" s="1"/>
  <c r="F22" i="1"/>
  <c r="E21" i="1"/>
  <c r="E32" i="2" l="1"/>
  <c r="D30" i="2" l="1"/>
  <c r="E60" i="2"/>
  <c r="D33" i="2" l="1"/>
  <c r="E34" i="2" s="1"/>
  <c r="D58" i="2"/>
</calcChain>
</file>

<file path=xl/sharedStrings.xml><?xml version="1.0" encoding="utf-8"?>
<sst xmlns="http://schemas.openxmlformats.org/spreadsheetml/2006/main" count="1101" uniqueCount="443">
  <si>
    <t xml:space="preserve">El procedimiento es enviar pesos desde un Banco Local a otro banco del Exterior (Balanz). </t>
  </si>
  <si>
    <t>Balanz compra bonos en pesos con ese importe, luego vende esos bonos en dolares y eso se transfiere a un Banco en dolares.</t>
  </si>
  <si>
    <t>Aca juega diferentes tipos de cambio según el momento de la operación.</t>
  </si>
  <si>
    <r>
      <rPr>
        <b/>
        <u/>
        <sz val="11"/>
        <color theme="1"/>
        <rFont val="Aptos Narrow"/>
        <family val="2"/>
        <scheme val="minor"/>
      </rPr>
      <t>Compra Dolares MEP</t>
    </r>
    <r>
      <rPr>
        <sz val="11"/>
        <color theme="1"/>
        <rFont val="Aptos Narrow"/>
        <family val="2"/>
        <scheme val="minor"/>
      </rPr>
      <t>: operación que se realiza con el exterior para aqduirir dolares.</t>
    </r>
  </si>
  <si>
    <t xml:space="preserve">OP 00132523 </t>
  </si>
  <si>
    <t>111.21.58</t>
  </si>
  <si>
    <t>Alic Balanz $</t>
  </si>
  <si>
    <t>Debe</t>
  </si>
  <si>
    <t>Haber</t>
  </si>
  <si>
    <t>111.21.19</t>
  </si>
  <si>
    <t>Banco Galicia c/c 71084-0 999-3 Fundraising</t>
  </si>
  <si>
    <t>TRANSFERENCIA DE FONDOS AL EXTERIOR.</t>
  </si>
  <si>
    <t>112.11.05</t>
  </si>
  <si>
    <t>Compra de Bono AE 38 (nombre del bono) en pesos</t>
  </si>
  <si>
    <t>EJEMPLO</t>
  </si>
  <si>
    <t>Venta Bono en dolares (AE 38) tipo de cambio 1.150.-</t>
  </si>
  <si>
    <t>(el tipo de cambio surge del BNA del dia dólar usa comprador)</t>
  </si>
  <si>
    <t xml:space="preserve">111.22.03 </t>
  </si>
  <si>
    <t>Alic Balanz U$S</t>
  </si>
  <si>
    <t>Títulos Alic Balanz</t>
  </si>
  <si>
    <t>Los dolares adquiridos son detallados por mail de Balanz como "operaciones concertadas")</t>
  </si>
  <si>
    <t>Diferencia de cambio dólar cable tipo de cambio 1.205</t>
  </si>
  <si>
    <t>El tipo de cambio 1.205 fue el que se fijo en la operación con Balanz, y esto genera la diferencia con el contabilizado anteriormente)</t>
  </si>
  <si>
    <t>822.00.02</t>
  </si>
  <si>
    <t>Diferencia de cambio</t>
  </si>
  <si>
    <t>122.30.02</t>
  </si>
  <si>
    <t>Fundraising</t>
  </si>
  <si>
    <t>813.00.02</t>
  </si>
  <si>
    <t>Se contabiliza el ingreso de los dolares al Banco del Exterior, el tipo de cambio que se contabiliza es al cierre del ejercicio anterior.</t>
  </si>
  <si>
    <t xml:space="preserve">	112.21.03</t>
  </si>
  <si>
    <t>Plazo Fijo Galicia Pesos</t>
  </si>
  <si>
    <t>111.21.04</t>
  </si>
  <si>
    <t>Banco Galicia c/c 53398/4/999/7</t>
  </si>
  <si>
    <t>812.00.02</t>
  </si>
  <si>
    <t>Intereses p/depositos a plazo fijo- pesos</t>
  </si>
  <si>
    <t>En el caso de cancelación:</t>
  </si>
  <si>
    <t>En el caso de renovación:</t>
  </si>
  <si>
    <t>112.22.01</t>
  </si>
  <si>
    <t>112.22.02</t>
  </si>
  <si>
    <t>Plazo Fijo Macro dólares</t>
  </si>
  <si>
    <t>Plazo Fijo Santander dólares</t>
  </si>
  <si>
    <t xml:space="preserve">Estas con las diferentes cuentas donde se puede constituir un plazo fijo según el banco: </t>
  </si>
  <si>
    <t>Dias</t>
  </si>
  <si>
    <t>%</t>
  </si>
  <si>
    <t>Interes tasa anual</t>
  </si>
  <si>
    <r>
      <rPr>
        <b/>
        <u/>
        <sz val="11"/>
        <color theme="1"/>
        <rFont val="Aptos Narrow"/>
        <family val="2"/>
        <scheme val="minor"/>
      </rPr>
      <t>Calculo de intereses</t>
    </r>
    <r>
      <rPr>
        <sz val="11"/>
        <color theme="1"/>
        <rFont val="Aptos Narrow"/>
        <family val="2"/>
        <scheme val="minor"/>
      </rPr>
      <t xml:space="preserve">: es el capital inicial por la tasa de interes anual divivido 100 (porque el tasa esta como porcentaje). Como es anual, se divide por 365 (calendario gregoriano… </t>
    </r>
    <r>
      <rPr>
        <sz val="11"/>
        <color rgb="FFFF0000"/>
        <rFont val="Aptos Narrow"/>
        <family val="2"/>
        <scheme val="minor"/>
      </rPr>
      <t>duda que pasa cuando es año bisiesto</t>
    </r>
    <r>
      <rPr>
        <sz val="11"/>
        <color theme="1"/>
        <rFont val="Aptos Narrow"/>
        <family val="2"/>
        <scheme val="minor"/>
      </rPr>
      <t>) ; y esto se multiplica por la cantidad de dias del plazo fijo.</t>
    </r>
  </si>
  <si>
    <t>PLAZO FIJO</t>
  </si>
  <si>
    <t>DOLARES MEP</t>
  </si>
  <si>
    <t>FONDO FIMA</t>
  </si>
  <si>
    <t>EN PESOS:</t>
  </si>
  <si>
    <t>112.21.01</t>
  </si>
  <si>
    <t>112.21.02</t>
  </si>
  <si>
    <t>112.21.03</t>
  </si>
  <si>
    <t>112.21.04</t>
  </si>
  <si>
    <t>112.21.05</t>
  </si>
  <si>
    <t>112.21.06</t>
  </si>
  <si>
    <t>112.21.07</t>
  </si>
  <si>
    <t>112.21.08</t>
  </si>
  <si>
    <t>112.21.09</t>
  </si>
  <si>
    <t>112.21.10</t>
  </si>
  <si>
    <t>112.21.12</t>
  </si>
  <si>
    <t>112.21.50</t>
  </si>
  <si>
    <t>Int.a Devengar Plazo Fijo pesos</t>
  </si>
  <si>
    <t xml:space="preserve">Plazo Fijo Comafi Pesos </t>
  </si>
  <si>
    <t xml:space="preserve">Plazo Fijo Rio Pesos </t>
  </si>
  <si>
    <t xml:space="preserve">Plazo Fijo Galicia Pesos </t>
  </si>
  <si>
    <t xml:space="preserve">Plazo Fijo Frances Pesos </t>
  </si>
  <si>
    <t xml:space="preserve">Plazo fijo Banco Macro pesos </t>
  </si>
  <si>
    <t xml:space="preserve">Plazo Fijo Macro (Dcho.Rosario) pesos </t>
  </si>
  <si>
    <t xml:space="preserve">Plazo Fijo Bco.Credicop (Paraná) pesos </t>
  </si>
  <si>
    <t xml:space="preserve">Plazo Fijo Bco.Bersa (Paraná) pesos </t>
  </si>
  <si>
    <t xml:space="preserve">Plazo Fijo HSBC Pesos </t>
  </si>
  <si>
    <t xml:space="preserve">Plazo Fijo Bco Municipal Rosario Pesos </t>
  </si>
  <si>
    <t xml:space="preserve">Plazo Fijo Bco.Santander Rio (Paraná) pesos </t>
  </si>
  <si>
    <t>112.41.01</t>
  </si>
  <si>
    <t>112.41.02</t>
  </si>
  <si>
    <t>112.41.03</t>
  </si>
  <si>
    <t>112.41.04</t>
  </si>
  <si>
    <t>112.41.05</t>
  </si>
  <si>
    <t>112.41.06</t>
  </si>
  <si>
    <t>112.41.07</t>
  </si>
  <si>
    <t>112.41.08</t>
  </si>
  <si>
    <t>Fondo de inversión Galicia pesos Red de Universidades Católicas</t>
  </si>
  <si>
    <t>112.41.09</t>
  </si>
  <si>
    <t>112.41.10</t>
  </si>
  <si>
    <t>112.42.01</t>
  </si>
  <si>
    <t>112.42.02</t>
  </si>
  <si>
    <t>112.42.03</t>
  </si>
  <si>
    <t>112.42.04</t>
  </si>
  <si>
    <t>112.42.05</t>
  </si>
  <si>
    <t xml:space="preserve">Fondo de inversión Santander Rio pesos </t>
  </si>
  <si>
    <t xml:space="preserve">Fondo de Inversión Santander Rio dólares </t>
  </si>
  <si>
    <t xml:space="preserve">Fondo de inversión Galicia pesos </t>
  </si>
  <si>
    <t xml:space="preserve">Fondo de Inversión Galicia dólares </t>
  </si>
  <si>
    <t xml:space="preserve">Fondo de inversión Francés pesos </t>
  </si>
  <si>
    <t xml:space="preserve">Fondo de inversión Francés dólares </t>
  </si>
  <si>
    <t xml:space="preserve">Fondo de inversión Comafi pesos </t>
  </si>
  <si>
    <t xml:space="preserve">Fondo de inversión Comafi dólares </t>
  </si>
  <si>
    <t xml:space="preserve">Fondo de inversión Macro pesos </t>
  </si>
  <si>
    <t xml:space="preserve">Fondo de inversión Macro dólares </t>
  </si>
  <si>
    <t xml:space="preserve">Fondo de inversión HSBC pesos </t>
  </si>
  <si>
    <t xml:space="preserve">Fondo de inversión Galicia pesos UCA Tec </t>
  </si>
  <si>
    <t xml:space="preserve">Fondo de inversión Supervielle pesos </t>
  </si>
  <si>
    <t xml:space="preserve">Fondo de inversión Galicia pesos Fundraising </t>
  </si>
  <si>
    <t>EN DOLARES:</t>
  </si>
  <si>
    <t xml:space="preserve">Cuenta comitente: </t>
  </si>
  <si>
    <t>Fondo de inversión Galicia pesos Fundraising</t>
  </si>
  <si>
    <t>Fecha</t>
  </si>
  <si>
    <t>Operación</t>
  </si>
  <si>
    <t>Suscripción</t>
  </si>
  <si>
    <t>Cuotapartes</t>
  </si>
  <si>
    <t>Valor de cuotaparte</t>
  </si>
  <si>
    <t>Importe</t>
  </si>
  <si>
    <t>Cuenta Comitente</t>
  </si>
  <si>
    <t>Rescate</t>
  </si>
  <si>
    <t>(tengo una diferencia de 0,09 con el banco por redondeo: 42.812.982,09)</t>
  </si>
  <si>
    <t>Galicia</t>
  </si>
  <si>
    <t xml:space="preserve">112.41.02 </t>
  </si>
  <si>
    <t>Fondo de inversión Galicia pesos</t>
  </si>
  <si>
    <t>Tipos de fondo</t>
  </si>
  <si>
    <t>GALICIA</t>
  </si>
  <si>
    <t>Fondo Fima Premium  Clase "B"</t>
  </si>
  <si>
    <t xml:space="preserve">Fondo Fima Premium  Clase "A" </t>
  </si>
  <si>
    <t>SANTANDER</t>
  </si>
  <si>
    <t>Super Ahorro $</t>
  </si>
  <si>
    <t>Tipo de cambio</t>
  </si>
  <si>
    <t>Fondo de Inversión Santander Rio dólares</t>
  </si>
  <si>
    <t>111.22.02</t>
  </si>
  <si>
    <t>Banco Santander c/c (u$s) 250-750710/8</t>
  </si>
  <si>
    <t>Tipo de Cambio</t>
  </si>
  <si>
    <t>UCA - Rescate Fdo. Super Ahorro u$s de  50,6238 cuotas partes a u$s 1,007432 c/u.</t>
  </si>
  <si>
    <t>98-00 Gral. Varios</t>
  </si>
  <si>
    <t>UCA Y FUNRAISING - Diferencia de cotización al 29/08/2025 por movimientos fondo FIMA Premium del mes.</t>
  </si>
  <si>
    <t xml:space="preserve"> Fondo de inversión Galicia pesos</t>
  </si>
  <si>
    <t>813.00.01</t>
  </si>
  <si>
    <t>Diferencia de cotizacion</t>
  </si>
  <si>
    <t>Fondo de Inversión Galicia dólares</t>
  </si>
  <si>
    <r>
      <t xml:space="preserve">Diferencia de cambio: </t>
    </r>
    <r>
      <rPr>
        <sz val="11"/>
        <color theme="1"/>
        <rFont val="Aptos Narrow"/>
        <family val="2"/>
        <scheme val="minor"/>
      </rPr>
      <t>se genera por la variacion del valorcuotaparte al cierre de cada mes</t>
    </r>
  </si>
  <si>
    <t>se llama donde estan las inversiones de Fondo Fima de GALICIA</t>
  </si>
  <si>
    <t>Cuenta titulos:</t>
  </si>
  <si>
    <t>se llama donde estan las inversiones de Banco Santander</t>
  </si>
  <si>
    <t>SUPERFONDO AHORRO USD</t>
  </si>
  <si>
    <t>Fima Premium Dolares</t>
  </si>
  <si>
    <t>UCA SANTANDER  - Diferencia de cotización al 30/05/2025 por movimientos fondo SUPER FONDOS EN pesos y u$s.</t>
  </si>
  <si>
    <t>Fondo de inversión Santander Rio pesos</t>
  </si>
  <si>
    <t xml:space="preserve">Fondo de Inversión Santander Rio dólares	</t>
  </si>
  <si>
    <t>Calculo de Diferencia de cambio mensual</t>
  </si>
  <si>
    <t>Saldo Santander Rio Pesos</t>
  </si>
  <si>
    <t>cantidad de cuotas partes</t>
  </si>
  <si>
    <t>Cotizacion Santander</t>
  </si>
  <si>
    <t>Saldo Santander Rio Dolares</t>
  </si>
  <si>
    <t>Total en usd</t>
  </si>
  <si>
    <t>$</t>
  </si>
  <si>
    <t>(tipo de cambio BNA)</t>
  </si>
  <si>
    <t>Asiento de diferencia de Cambio</t>
  </si>
  <si>
    <t>111.22.07</t>
  </si>
  <si>
    <t>Banco Santander c/c (u$s) 575-045269/6</t>
  </si>
  <si>
    <t>Detalle de bonos</t>
  </si>
  <si>
    <t>A corto plazo</t>
  </si>
  <si>
    <t>PCH-SHORT-TERM MM USD-I DY</t>
  </si>
  <si>
    <t>EUR</t>
  </si>
  <si>
    <t>USD</t>
  </si>
  <si>
    <t>SSGA-GL.TR.1-10 BD IDX I USD H-ACC</t>
  </si>
  <si>
    <t>BLACKSTONE-LCGIGCB A USD -ACC.-</t>
  </si>
  <si>
    <t>HSBC GFI-GL.CORP.BD ETF S USD H-ACC</t>
  </si>
  <si>
    <t>BARINGS-GLOBAL H/Y BOND B USD-ACC</t>
  </si>
  <si>
    <t>SSGA LUX-EM.MK LOC.CCY GOV.BD I USD</t>
  </si>
  <si>
    <t>BLACKROCK-ISH.GL.SEC.IN.S USD H-AC</t>
  </si>
  <si>
    <t>D&amp;C WORLDWIDE-GLOBAL STOCK USD-ACC</t>
  </si>
  <si>
    <t>DWS INVEST-GL.INFRAS.IC250 USD-ACC-</t>
  </si>
  <si>
    <t>UI MONTRU BOLT GL</t>
  </si>
  <si>
    <t>BLACKROCK I-GLB UNC.EQ.D USD-ACC</t>
  </si>
  <si>
    <t>CANTILLON GLOBAL EQUTY</t>
  </si>
  <si>
    <t>PICTET-QUEST AI-DRIVEN GL.EQ.J USD</t>
  </si>
  <si>
    <t>UBS(IRL)-MSCI WORLD A USD ET</t>
  </si>
  <si>
    <t>VANGUARD-GL STOCK IDX INST+ USD ACC</t>
  </si>
  <si>
    <t>VANGUARD IS-EUR.ST IND.INS.EUR PLUS</t>
  </si>
  <si>
    <t>TT INTL EMERG MKTS UNCONS P1</t>
  </si>
  <si>
    <t>NORDEA 1-GL.REAL EST.BD USD-ACC</t>
  </si>
  <si>
    <t xml:space="preserve"> KEMPEN IF-(LUX)GL.SM.-CAP I USD-ACC</t>
  </si>
  <si>
    <t>ALPHANATICS FUND E USD</t>
  </si>
  <si>
    <t>ALPHANATICS FUND E USD REST</t>
  </si>
  <si>
    <t>ALPHANATICS FUND E USD -T.REC.-</t>
  </si>
  <si>
    <t>PAF-PLEIAD-I USD</t>
  </si>
  <si>
    <t>PAF-PLEIAD-J USD</t>
  </si>
  <si>
    <t>PICTET TR-DIVERSIFIED ALPHA-HI USD</t>
  </si>
  <si>
    <t>PPMF CH-PHYSICAL GOLD J DY USD</t>
  </si>
  <si>
    <t>Tipo</t>
  </si>
  <si>
    <t>Descripcion</t>
  </si>
  <si>
    <t>Valoracion</t>
  </si>
  <si>
    <t>Total</t>
  </si>
  <si>
    <t>Cantidad</t>
  </si>
  <si>
    <t>Moneda</t>
  </si>
  <si>
    <t>PICTET</t>
  </si>
  <si>
    <t>Renta Fija (Fixed Income)</t>
  </si>
  <si>
    <t>Acciones (EQUITIES y METALES)</t>
  </si>
  <si>
    <t>Metales</t>
  </si>
  <si>
    <t>TOTAL</t>
  </si>
  <si>
    <t>Fixed Income</t>
  </si>
  <si>
    <t>LUMYNA EURO DEBT GOVT USD 
ACC B</t>
  </si>
  <si>
    <t>LUMYNA -GLOBAL DEBT-GOVT</t>
  </si>
  <si>
    <t>HSBC GLB AGG BD ID USD ACC S5CH</t>
  </si>
  <si>
    <t>NATIXIS INTERNATIONAL FUNDS</t>
  </si>
  <si>
    <t>PIMCO TOTAL RETURN BOND FD</t>
  </si>
  <si>
    <t>INVES US TRE BD 7-10 UCITS ETF</t>
  </si>
  <si>
    <t xml:space="preserve">ISHARES CHINA CNY BOND ETF </t>
  </si>
  <si>
    <t>XTRACKERS II - XTRACKERS II 
EUROZON
ETF</t>
  </si>
  <si>
    <t>Equities</t>
  </si>
  <si>
    <t>BLACKROCK INSTITUTIONAL POOLED EUR</t>
  </si>
  <si>
    <t>BLACKROCK JAPAN EQ 1 FD JPY ACC J</t>
  </si>
  <si>
    <t>JPY</t>
  </si>
  <si>
    <t>INVESCO COMMS S&amp;P US SEL SECT USD</t>
  </si>
  <si>
    <t>INVESCO CONSTAP SP US SEC USD ACC</t>
  </si>
  <si>
    <t>INVESCO EQQQ NASDAQ 100 ETF ACC</t>
  </si>
  <si>
    <t>INVESCO FIN S&amp;P US SELSECT USD ACC</t>
  </si>
  <si>
    <t>INVESCO HEALTH S&amp;P US SEL UCITS ETF</t>
  </si>
  <si>
    <t>INVESCO S&amp;P 500 UCITS ETF</t>
  </si>
  <si>
    <t>INVESCO UTILITY SP US SEC USD ACC</t>
  </si>
  <si>
    <t>Ishares CORE S&amp;P 500 USD ACC</t>
  </si>
  <si>
    <t>ISHARES S&amp;P 500 IT SECTOR USD ACC</t>
  </si>
  <si>
    <t>ISHARES S&amp;P500 ENERG SECT UCITS ETF</t>
  </si>
  <si>
    <t>ISHARES S&amp;P500 INDUSTRIAL USD ACC</t>
  </si>
  <si>
    <t>ISHARES SP500 CONS DISC SEC USD ACC</t>
  </si>
  <si>
    <t>PASSIM STRUCTURED FUNDS PLC</t>
  </si>
  <si>
    <t>CAD</t>
  </si>
  <si>
    <t>VANGUARD EM INDEX FUND USD ACC I+</t>
  </si>
  <si>
    <t>VANGUARD PACIF EX-JAP IN USD ACC I+</t>
  </si>
  <si>
    <t>WELLINGTON STRAT EU EQ FD EUR ACC S</t>
  </si>
  <si>
    <t>ARCUS FUND</t>
  </si>
  <si>
    <t>BLACKROCK CONT EUFLEX USD H ACC D2</t>
  </si>
  <si>
    <t>Alternativos</t>
  </si>
  <si>
    <t>BLACKROCK BANK LOAN-IUSDACC</t>
  </si>
  <si>
    <t>STARWOOD REAL ESTATE INCOME TRUST OFFSHORE</t>
  </si>
  <si>
    <t>CLARION PRIVATE INVESTORS OFFSHORE</t>
  </si>
  <si>
    <t>AEOLUS PROPERTY CATASTROPHE KEYSTONE</t>
  </si>
  <si>
    <t>BREVAN HOWARD ALPHA STREGEGIES</t>
  </si>
  <si>
    <t>CENTIVA OFFSHORES FUND</t>
  </si>
  <si>
    <t>D.E. SHAW OCULUS INT</t>
  </si>
  <si>
    <t>EDGESREAM NIAS FUND</t>
  </si>
  <si>
    <t>EMERGING OPPORTUNITIES FUND SPC,</t>
  </si>
  <si>
    <t>GOOD HILL MUNICIPAL BOND OPPORTUNITY</t>
  </si>
  <si>
    <t>LAURION CAPITAL LTD</t>
  </si>
  <si>
    <t>LMR MULTI STRATEGY FUND</t>
  </si>
  <si>
    <t>OASIS INVESTMENTS II OFFSHORE FEEDER</t>
  </si>
  <si>
    <t>OASIS INVESTMENTS II US FEEDER LTD</t>
  </si>
  <si>
    <t>ONE WILLIAM STREET CAP OFF</t>
  </si>
  <si>
    <t>QUBE FUND LTD - OMNI CLASS PC2V-EO -</t>
  </si>
  <si>
    <t>ROKOS GLOBAL MACRO FUND</t>
  </si>
  <si>
    <t>SCHONFELD STRATEGIC PARTNERS</t>
  </si>
  <si>
    <t>STABILIS BRIDGE FUND</t>
  </si>
  <si>
    <t>TORUS FEEDER LTD</t>
  </si>
  <si>
    <t>TUDOR BVI GLOBAL FUND</t>
  </si>
  <si>
    <t>TWIN TREE CAPITAL OFFSHORE PARTNERS</t>
  </si>
  <si>
    <t>VOLEON COMPOSITION INT</t>
  </si>
  <si>
    <t>VOLORIDGE FUND LTD</t>
  </si>
  <si>
    <t>VOLORIDGE TRADING AGGRESSIVE FUND</t>
  </si>
  <si>
    <t>WALLEYE OPPORTUNITIES FUND</t>
  </si>
  <si>
    <t>XANTIUM PARTNERS FUND LTD. - OMNI</t>
  </si>
  <si>
    <t>Cuenta</t>
  </si>
  <si>
    <t>Hedge Funds</t>
  </si>
  <si>
    <t>J P MORGAN INVERSIONES</t>
  </si>
  <si>
    <t>Jp Morgan Lux Liquidity</t>
  </si>
  <si>
    <t>US US TREASURY N/B</t>
  </si>
  <si>
    <t>Halliburton CO</t>
  </si>
  <si>
    <t>Fortive Corporation</t>
  </si>
  <si>
    <t>Morgan Stanley</t>
  </si>
  <si>
    <t>JPMorgan Chase &amp; Co</t>
  </si>
  <si>
    <t>Glencore Funding LLC Regs</t>
  </si>
  <si>
    <t>Starbucks Corp</t>
  </si>
  <si>
    <t>DELL INT / EMC 4,35</t>
  </si>
  <si>
    <t>Diageo Capital PLC</t>
  </si>
  <si>
    <t>Toyota Motor Credit Corpor</t>
  </si>
  <si>
    <t>BROADCOM INC,</t>
  </si>
  <si>
    <t>HCA INC.</t>
  </si>
  <si>
    <t>AT&amp;T INC</t>
  </si>
  <si>
    <t>LENOVO GROUP LIMITED REGS</t>
  </si>
  <si>
    <t>AEGON EUROPEAN ABS FUND</t>
  </si>
  <si>
    <t>AXA FIIS US SH DUR HI YLD A ACC USD</t>
  </si>
  <si>
    <t>BARINGS GLOBAL SENIOR SECURED BOND</t>
  </si>
  <si>
    <t>ISHARES USD HY CORP USD ACC ETF</t>
  </si>
  <si>
    <t>M&amp;G LUX INVESTMENT FUNDS 1 - M&amp;G LU</t>
  </si>
  <si>
    <t>BEL CANTO FI LATAM+ B USD ACC</t>
  </si>
  <si>
    <t>GL EVOLUTION FRONT MKT I ACC USD</t>
  </si>
  <si>
    <t>NEUBERG SH DUR EM MK DBT I ACC USD
I</t>
  </si>
  <si>
    <t>BEL CANTO USEQ BEST IDEAS A USD ACC</t>
  </si>
  <si>
    <t>INVESCO QQQ TRUST SERIES 1</t>
  </si>
  <si>
    <t>INVESCO S&amp;P 500 EQUAL WEIGHT ETF</t>
  </si>
  <si>
    <t>ISHARES EDGE MIN VOL EMERG MKTS ETF</t>
  </si>
  <si>
    <t>ISHARES MSCI EMERGING MARKETS ETF</t>
  </si>
  <si>
    <t>SPDR S&amp;P 500 ETF TRUST</t>
  </si>
  <si>
    <t>VANGUARD SP 500 ETF</t>
  </si>
  <si>
    <t>DB X-TRACK.MSCI EUROPE IDX.UCITS</t>
  </si>
  <si>
    <t>MFS MERID EUROP VAL I1 ACC USD HGD</t>
  </si>
  <si>
    <t>DNCA INVEST - ALPHA BONDS</t>
  </si>
  <si>
    <t>Valor de Mercado</t>
  </si>
  <si>
    <t>Fondos monetarios</t>
  </si>
  <si>
    <t>Bonos gobiernos</t>
  </si>
  <si>
    <t>Bonos investment grade</t>
  </si>
  <si>
    <t>Bonos emergentes</t>
  </si>
  <si>
    <t>Fondos high yield</t>
  </si>
  <si>
    <t>Fondos emergentes</t>
  </si>
  <si>
    <t>Fondos USA</t>
  </si>
  <si>
    <t>Fondos Europa</t>
  </si>
  <si>
    <t>Fondos alternativos</t>
  </si>
  <si>
    <t>Renta fija y Flotante</t>
  </si>
  <si>
    <t>Bonar</t>
  </si>
  <si>
    <t>LAURION DIVERSIF ABSOLUTE RTN B USD</t>
  </si>
  <si>
    <t>IOR</t>
  </si>
  <si>
    <t>MONETARIA USD - 76334</t>
  </si>
  <si>
    <t>usd</t>
  </si>
  <si>
    <t>TREASURY BILL 04/09/2025</t>
  </si>
  <si>
    <t>Bonos</t>
  </si>
  <si>
    <t>US TREASURY N/B 3,75000 30/04/202</t>
  </si>
  <si>
    <t>Hay dos opciones que se realiza con los dolares adquiridos:</t>
  </si>
  <si>
    <t>1 - Dólares ingresados en el exterior</t>
  </si>
  <si>
    <t>2 - Dólares ingresados en el Banco local</t>
  </si>
  <si>
    <t xml:space="preserve">Banco Santander c/c (u$s) 575-045269/6 </t>
  </si>
  <si>
    <t>Transferencia Balanz al Banco Santander usd 10 (t.c 1140)</t>
  </si>
  <si>
    <t>Se contabiliza al tipo de cambio de la fecha del asiento: 1150 según BNA</t>
  </si>
  <si>
    <t>UCA - FUNDRAISING - Suscripción Fdo. Fima Premium  Clase "A"15,208 cuotas partes a $ 65.75389 cada una.</t>
  </si>
  <si>
    <t xml:space="preserve">UCA - Rescate Fondo Fima Premium clase "A" Fundraising 1 cuotas parte a $ 67,230850. </t>
  </si>
  <si>
    <t>UCA - FUNDRAISING - Suscripción Fdo. Fima Premium  Clase "A" 61,5660628357521 cuotas partes a $ 81,21357 cada una.</t>
  </si>
  <si>
    <t>UCA - Rescate Fondo Fima Premium clase "A" Fundraising 31,2411860803771 cuotas parte a $ 80,02257</t>
  </si>
  <si>
    <t>UCA - Suscripción Fdo. Super Ahorro u$s de  88,86 cuotas partes a u$s 1,004875 cada una.</t>
  </si>
  <si>
    <t>Y de la diferencia de los valores de cotizaciones surge la diferencia de cambio.</t>
  </si>
  <si>
    <t>De la compra y ventas de estos bonos/renta fija y variable; y pago de cupon surgen lo que es la transferencia de Inversiones No corrientes a Inversiones corrientes. Es decir, estos instrumentos financieros se convierten en efectivo.</t>
  </si>
  <si>
    <t>PESOS</t>
  </si>
  <si>
    <t>DOLARES</t>
  </si>
  <si>
    <t>112.22.50</t>
  </si>
  <si>
    <t>Int.a Devengar Plazo Fijo u$s</t>
  </si>
  <si>
    <t>Plazo Fijo</t>
  </si>
  <si>
    <t>Sutipo</t>
  </si>
  <si>
    <t>Constitucion</t>
  </si>
  <si>
    <t>Monto</t>
  </si>
  <si>
    <t>Intereses</t>
  </si>
  <si>
    <t>Interes tasa</t>
  </si>
  <si>
    <t>Vencimiento</t>
  </si>
  <si>
    <t>Constitucion plazo fijo en dolares Bco Santander</t>
  </si>
  <si>
    <t>Cancelacion plazo fijo en dolares Bco Santander</t>
  </si>
  <si>
    <t>Santander en dolares</t>
  </si>
  <si>
    <t>CASH</t>
  </si>
  <si>
    <t>Cuentas corrientes</t>
  </si>
  <si>
    <t>Banco</t>
  </si>
  <si>
    <t>Pictet</t>
  </si>
  <si>
    <t xml:space="preserve"> USD common</t>
  </si>
  <si>
    <t>Ventas de activos</t>
  </si>
  <si>
    <t>Compra  de activos</t>
  </si>
  <si>
    <t>Comisiones</t>
  </si>
  <si>
    <t>Transferencias de otras cuentas (por ejemplo de Balanz a Pictet)</t>
  </si>
  <si>
    <t>Movimientos</t>
  </si>
  <si>
    <t>Saldo Inicial</t>
  </si>
  <si>
    <t>JPMorgan</t>
  </si>
  <si>
    <t>Cta N°</t>
  </si>
  <si>
    <t>W-538001.002.00.USD</t>
  </si>
  <si>
    <t>cuenta</t>
  </si>
  <si>
    <t>Q20251007</t>
  </si>
  <si>
    <t>G67117004</t>
  </si>
  <si>
    <t>US DOLLAR JPM DEPOSIT SWEEP</t>
  </si>
  <si>
    <t>Comisiones / gastos de gestión</t>
  </si>
  <si>
    <t>Intereses ganados</t>
  </si>
  <si>
    <t>JPM LI-LIQ LVNAV FD - USD - W</t>
  </si>
  <si>
    <t>SWISS FRANC</t>
  </si>
  <si>
    <t>CHF</t>
  </si>
  <si>
    <t>Ingreso Arancel Alumno</t>
  </si>
  <si>
    <t>CAPITAL CANADIAN DOLLAR</t>
  </si>
  <si>
    <t>CAPITAL CANADIAN DOLLAR - compras</t>
  </si>
  <si>
    <t>CAPITAL CANADIAN DOLLAR - ventas</t>
  </si>
  <si>
    <t>CAPITAL CANADIAN DOLLAR - intereses</t>
  </si>
  <si>
    <t>CAPITAL CANADIAN DOLLAR  - diferencia de cambio</t>
  </si>
  <si>
    <t>CAPITAL POUND STERLING</t>
  </si>
  <si>
    <t>CAPITAL POUND STERLING - compras</t>
  </si>
  <si>
    <t>CAPITAL POUND STERLING - ventas</t>
  </si>
  <si>
    <t>CAPITAL POUND STERLING - intereses</t>
  </si>
  <si>
    <t>CAPITAL POUND STERLING - diferencia de cambio</t>
  </si>
  <si>
    <t>CAPITAL U.S. DOLLAR</t>
  </si>
  <si>
    <t>CAPITAL U.S. DOLLAR - compras</t>
  </si>
  <si>
    <t>CAPITAL U.S. DOLLAR - ventas</t>
  </si>
  <si>
    <t>CAPITAL U.S. DOLLAR - intereses</t>
  </si>
  <si>
    <t>CAPITAL U.S. DOLLAR - diferencia de cambio</t>
  </si>
  <si>
    <t>CAPITAL U.S. DOLLAR - comisiones</t>
  </si>
  <si>
    <t>CAPITAL EURO</t>
  </si>
  <si>
    <t>CAPITAL EURO - compras</t>
  </si>
  <si>
    <t>CAPITAL EURO -ventas</t>
  </si>
  <si>
    <t>CAPITAL EURO - intereses</t>
  </si>
  <si>
    <t>CAPITAL EURO - diferencia de cambio</t>
  </si>
  <si>
    <t>Total USD</t>
  </si>
  <si>
    <t>Compra-Venta Titulos</t>
  </si>
  <si>
    <t>Transferencia entre cuentas</t>
  </si>
  <si>
    <t>intereses títulos transferencia inversiones</t>
  </si>
  <si>
    <t>Visa Corporativa</t>
  </si>
  <si>
    <t>Pagos</t>
  </si>
  <si>
    <t>(se contabilizan desde la op)</t>
  </si>
  <si>
    <t>(se contabiliza antes que cierre el mes)</t>
  </si>
  <si>
    <t>Euros</t>
  </si>
  <si>
    <t>diferencia de cambio</t>
  </si>
  <si>
    <t>transferencias GP</t>
  </si>
  <si>
    <t>Pago tasa</t>
  </si>
  <si>
    <t>MIX 30 USD - 101226</t>
  </si>
  <si>
    <t>Asiento contable</t>
  </si>
  <si>
    <t>Detalle</t>
  </si>
  <si>
    <t>Nombre</t>
  </si>
  <si>
    <t>Cuentas</t>
  </si>
  <si>
    <t>CC</t>
  </si>
  <si>
    <t>D</t>
  </si>
  <si>
    <t>C</t>
  </si>
  <si>
    <t>Texto</t>
  </si>
  <si>
    <t>Inversiones Exterior no corrientes</t>
  </si>
  <si>
    <t>122.30.01</t>
  </si>
  <si>
    <t>98-00</t>
  </si>
  <si>
    <t>Gral. Varios</t>
  </si>
  <si>
    <t>Transferencia a inv.no ctes 07/25</t>
  </si>
  <si>
    <t>Diferencia de cotización 07/25</t>
  </si>
  <si>
    <t>Diferencia de cambio 07/25</t>
  </si>
  <si>
    <t>Bancos del Exterior</t>
  </si>
  <si>
    <t>111.22.01</t>
  </si>
  <si>
    <t>98-02</t>
  </si>
  <si>
    <t>Inversiones extranjeras</t>
  </si>
  <si>
    <t>Inversiones exterior no corrientes 07/25</t>
  </si>
  <si>
    <t xml:space="preserve">DDA CUSTODIAL CASH ACCOUNTS </t>
  </si>
  <si>
    <t>MANAGED PORTFOLIO CASH ACCOUNTS</t>
  </si>
  <si>
    <t>Transferencia interna</t>
  </si>
  <si>
    <t>Compras de activos</t>
  </si>
  <si>
    <t>Dividendos</t>
  </si>
  <si>
    <t>INVERSIONES NO CORRIENTES - SANTANDER</t>
  </si>
  <si>
    <t>CASH -SANTANDER</t>
  </si>
  <si>
    <t>98-04</t>
  </si>
  <si>
    <t>Intereses inversiones exterior</t>
  </si>
  <si>
    <t>812.00.03</t>
  </si>
  <si>
    <t>Fundraising 07/2025</t>
  </si>
  <si>
    <t xml:space="preserve">	Dif de cotizacion + Dif de cambio 07/2025 + Intereses 07/202</t>
  </si>
  <si>
    <t>Inversiones Fundraising</t>
  </si>
  <si>
    <t>821.00.06</t>
  </si>
  <si>
    <t>Comisiones bancarias</t>
  </si>
  <si>
    <t xml:space="preserve">Dif de cambio + intereses 07-2025	</t>
  </si>
  <si>
    <t>Bancos del Exterior 07-2025</t>
  </si>
  <si>
    <t xml:space="preserve">	Comisiones 07-2025</t>
  </si>
  <si>
    <t>ISIN</t>
  </si>
  <si>
    <t>CH0011292379</t>
  </si>
  <si>
    <t>LU2008207461</t>
  </si>
  <si>
    <t>IE00BMXTP46</t>
  </si>
  <si>
    <t>IE00BFMN8962</t>
  </si>
  <si>
    <t>IE00B7FP6X30</t>
  </si>
  <si>
    <t>IE0009ZVRLQ9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</si>
</sst>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\ #,##0.00;[Red]&quot;$&quot;\ \-#,##0.00"/>
    <numFmt numFmtId="164" formatCode="#,##0.00000"/>
    <numFmt numFmtId="165" formatCode="#,##0.0000"/>
    <numFmt numFmtId="166" formatCode="&quot;$&quot;\ #,##0.00000;[Red]&quot;$&quot;\ \-#,##0.00000"/>
    <numFmt numFmtId="167" formatCode="0.0000"/>
  </numFmts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9"/>
      <color rgb="FF212121"/>
      <name val="Arial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63">
    <xf numFmtId="0" fontId="0" fillId="0" borderId="0" xfId="0"/>
    <xf numFmtId="0" fontId="2" fillId="0" borderId="0" xfId="0" applyFont="1"/>
    <xf numFmtId="0" fontId="3" fillId="0" borderId="0" xfId="0" applyFont="1"/>
    <xf numFmtId="8" fontId="0" fillId="0" borderId="0" xfId="0" applyNumberFormat="1"/>
    <xf numFmtId="4" fontId="0" fillId="0" borderId="0" xfId="0" applyNumberFormat="1"/>
    <xf numFmtId="14" fontId="2" fillId="0" borderId="0" xfId="0" applyNumberFormat="1" applyFont="1"/>
    <xf numFmtId="0" fontId="2" fillId="0" borderId="0" xfId="0" applyFont="1" applyAlignment="1">
      <alignment horizontal="center"/>
    </xf>
    <xf numFmtId="0" fontId="4" fillId="2" borderId="0" xfId="0" applyFont="1" applyFill="1"/>
    <xf numFmtId="0" fontId="0" fillId="0" borderId="4" xfId="0" applyBorder="1"/>
    <xf numFmtId="14" fontId="0" fillId="0" borderId="0" xfId="0" applyNumberFormat="1"/>
    <xf numFmtId="0" fontId="0" fillId="0" borderId="5" xfId="0" applyBorder="1"/>
    <xf numFmtId="164" fontId="0" fillId="0" borderId="0" xfId="0" applyNumberFormat="1"/>
    <xf numFmtId="14" fontId="2" fillId="0" borderId="4" xfId="0" applyNumberFormat="1" applyFont="1" applyBorder="1"/>
    <xf numFmtId="8" fontId="0" fillId="0" borderId="5" xfId="0" applyNumberFormat="1" applyBorder="1"/>
    <xf numFmtId="0" fontId="0" fillId="0" borderId="6" xfId="0" applyBorder="1"/>
    <xf numFmtId="0" fontId="0" fillId="0" borderId="7" xfId="0" applyBorder="1"/>
    <xf numFmtId="8" fontId="0" fillId="0" borderId="8" xfId="0" applyNumberFormat="1" applyBorder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16" fontId="0" fillId="0" borderId="0" xfId="0" applyNumberFormat="1"/>
    <xf numFmtId="0" fontId="1" fillId="0" borderId="0" xfId="0" applyFont="1" applyAlignment="1">
      <alignment horizontal="center" vertical="center"/>
    </xf>
    <xf numFmtId="4" fontId="1" fillId="0" borderId="0" xfId="0" applyNumberFormat="1" applyFont="1"/>
    <xf numFmtId="167" fontId="0" fillId="0" borderId="0" xfId="0" applyNumberFormat="1"/>
    <xf numFmtId="2" fontId="0" fillId="0" borderId="0" xfId="0" applyNumberFormat="1"/>
    <xf numFmtId="3" fontId="0" fillId="0" borderId="0" xfId="0" applyNumberFormat="1"/>
    <xf numFmtId="4" fontId="2" fillId="0" borderId="0" xfId="0" applyNumberFormat="1" applyFont="1"/>
    <xf numFmtId="0" fontId="0" fillId="4" borderId="0" xfId="0" applyFill="1"/>
    <xf numFmtId="0" fontId="2" fillId="0" borderId="12" xfId="0" applyFont="1" applyBorder="1"/>
    <xf numFmtId="0" fontId="0" fillId="5" borderId="0" xfId="0" applyFill="1"/>
    <xf numFmtId="0" fontId="7" fillId="0" borderId="0" xfId="0" applyFont="1"/>
    <xf numFmtId="0" fontId="5" fillId="0" borderId="0" xfId="0" applyFont="1" applyAlignment="1">
      <alignment horizontal="center"/>
    </xf>
    <xf numFmtId="0" fontId="0" fillId="0" borderId="0" xfId="0" quotePrefix="1"/>
    <xf numFmtId="0" fontId="0" fillId="6" borderId="12" xfId="0" applyFill="1" applyBorder="1"/>
    <xf numFmtId="0" fontId="7" fillId="6" borderId="12" xfId="0" applyFont="1" applyFill="1" applyBorder="1"/>
    <xf numFmtId="17" fontId="0" fillId="0" borderId="0" xfId="0" applyNumberFormat="1"/>
    <xf numFmtId="0" fontId="6" fillId="0" borderId="0" xfId="0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2" fillId="0" borderId="0" xfId="1" applyFont="1"/>
    <xf numFmtId="0" fontId="8" fillId="0" borderId="0" xfId="1"/>
  </cellXfs>
  <cellStyles count="2">
    <cellStyle name="Normal" xfId="0" builtinId="0"/>
    <cellStyle name="Normal 3" xfId="1" xr:uid="{5584873E-91EE-4A95-94DC-F7A67CD7CE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182336</xdr:rowOff>
    </xdr:from>
    <xdr:to>
      <xdr:col>4</xdr:col>
      <xdr:colOff>515369</xdr:colOff>
      <xdr:row>26</xdr:row>
      <xdr:rowOff>162977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EDAA3C3-FA35-A3C0-FB9F-0E04E50BF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1461"/>
          <a:ext cx="6691311" cy="41716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4</xdr:col>
      <xdr:colOff>576439</xdr:colOff>
      <xdr:row>54</xdr:row>
      <xdr:rowOff>161452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9E20BA5-25F3-9664-FA17-EB2C0308A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524625"/>
          <a:ext cx="6752381" cy="37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CD39A-D9E9-4B1D-8C16-EE5F4BC8467A}">
  <dimension ref="A1:N35"/>
  <sheetViews>
    <sheetView zoomScale="80" zoomScaleNormal="80" workbookViewId="0"/>
  </sheetViews>
  <sheetFormatPr baseColWidth="10" defaultRowHeight="15" x14ac:dyDescent="0.25"/>
  <cols>
    <col min="1" max="1" width="18.140625" customWidth="1"/>
    <col min="2" max="2" width="15" customWidth="1"/>
    <col min="3" max="3" width="24.140625" customWidth="1"/>
    <col min="4" max="4" width="40.42578125" bestFit="1" customWidth="1"/>
    <col min="5" max="6" width="15" bestFit="1" customWidth="1"/>
    <col min="7" max="7" width="12.5703125" bestFit="1" customWidth="1"/>
    <col min="10" max="10" width="12.5703125" bestFit="1" customWidth="1"/>
    <col min="13" max="13" width="14" bestFit="1" customWidth="1"/>
  </cols>
  <sheetData>
    <row r="1" spans="1:8" ht="18.75" x14ac:dyDescent="0.3">
      <c r="A1" s="7" t="s">
        <v>47</v>
      </c>
    </row>
    <row r="2" spans="1:8" x14ac:dyDescent="0.25">
      <c r="A2" t="s">
        <v>3</v>
      </c>
    </row>
    <row r="3" spans="1:8" x14ac:dyDescent="0.25">
      <c r="A3" t="s">
        <v>0</v>
      </c>
    </row>
    <row r="4" spans="1:8" x14ac:dyDescent="0.25">
      <c r="A4" t="s">
        <v>1</v>
      </c>
    </row>
    <row r="5" spans="1:8" x14ac:dyDescent="0.25">
      <c r="A5" t="s">
        <v>2</v>
      </c>
    </row>
    <row r="7" spans="1:8" x14ac:dyDescent="0.25">
      <c r="A7" s="2" t="s">
        <v>14</v>
      </c>
    </row>
    <row r="8" spans="1:8" x14ac:dyDescent="0.25">
      <c r="A8" s="5">
        <v>45806</v>
      </c>
      <c r="B8" s="1" t="s">
        <v>11</v>
      </c>
      <c r="C8" s="1"/>
      <c r="D8" s="6" t="s">
        <v>4</v>
      </c>
      <c r="E8" t="s">
        <v>7</v>
      </c>
      <c r="F8" t="s">
        <v>8</v>
      </c>
    </row>
    <row r="9" spans="1:8" x14ac:dyDescent="0.25">
      <c r="A9" t="s">
        <v>5</v>
      </c>
      <c r="B9" t="s">
        <v>6</v>
      </c>
      <c r="E9" s="3">
        <v>12100</v>
      </c>
      <c r="G9" s="4"/>
    </row>
    <row r="10" spans="1:8" x14ac:dyDescent="0.25">
      <c r="C10" t="s">
        <v>9</v>
      </c>
      <c r="D10" t="s">
        <v>10</v>
      </c>
      <c r="F10" s="3">
        <v>12100</v>
      </c>
      <c r="H10" s="4"/>
    </row>
    <row r="12" spans="1:8" x14ac:dyDescent="0.25">
      <c r="A12" s="5">
        <v>45806</v>
      </c>
      <c r="B12" s="1" t="s">
        <v>13</v>
      </c>
      <c r="C12" s="1"/>
      <c r="D12" s="1"/>
    </row>
    <row r="13" spans="1:8" x14ac:dyDescent="0.25">
      <c r="A13" t="s">
        <v>12</v>
      </c>
      <c r="B13" t="s">
        <v>19</v>
      </c>
      <c r="E13" s="3">
        <v>12050</v>
      </c>
    </row>
    <row r="14" spans="1:8" x14ac:dyDescent="0.25">
      <c r="C14" t="s">
        <v>5</v>
      </c>
      <c r="D14" t="s">
        <v>6</v>
      </c>
      <c r="F14" s="3">
        <v>12050</v>
      </c>
    </row>
    <row r="16" spans="1:8" x14ac:dyDescent="0.25">
      <c r="A16" s="5">
        <v>45807</v>
      </c>
      <c r="B16" s="1" t="s">
        <v>15</v>
      </c>
      <c r="G16" t="s">
        <v>20</v>
      </c>
    </row>
    <row r="17" spans="1:14" x14ac:dyDescent="0.25">
      <c r="A17" t="s">
        <v>17</v>
      </c>
      <c r="B17" t="s">
        <v>18</v>
      </c>
      <c r="E17" s="3">
        <f>10*1150</f>
        <v>11500</v>
      </c>
      <c r="G17" t="s">
        <v>16</v>
      </c>
      <c r="J17" s="4"/>
    </row>
    <row r="18" spans="1:14" x14ac:dyDescent="0.25">
      <c r="C18" t="s">
        <v>12</v>
      </c>
      <c r="D18" t="s">
        <v>19</v>
      </c>
      <c r="F18" s="3">
        <f>10*1150</f>
        <v>11500</v>
      </c>
    </row>
    <row r="20" spans="1:14" x14ac:dyDescent="0.25">
      <c r="A20" s="5">
        <v>45807</v>
      </c>
      <c r="B20" s="1" t="s">
        <v>21</v>
      </c>
      <c r="G20" s="38" t="s">
        <v>22</v>
      </c>
      <c r="H20" s="38"/>
      <c r="I20" s="38"/>
      <c r="J20" s="38"/>
      <c r="K20" s="38"/>
      <c r="L20" s="38"/>
      <c r="M20" s="38"/>
    </row>
    <row r="21" spans="1:14" x14ac:dyDescent="0.25">
      <c r="A21" t="s">
        <v>23</v>
      </c>
      <c r="B21" t="s">
        <v>24</v>
      </c>
      <c r="E21" s="3">
        <f>+E13-E17</f>
        <v>550</v>
      </c>
      <c r="G21" s="38"/>
      <c r="H21" s="38"/>
      <c r="I21" s="38"/>
      <c r="J21" s="38"/>
      <c r="K21" s="38"/>
      <c r="L21" s="38"/>
      <c r="M21" s="38"/>
    </row>
    <row r="22" spans="1:14" x14ac:dyDescent="0.25">
      <c r="C22" t="s">
        <v>12</v>
      </c>
      <c r="D22" t="s">
        <v>19</v>
      </c>
      <c r="F22" s="3">
        <f>+F14-F18</f>
        <v>550</v>
      </c>
      <c r="M22" s="3"/>
    </row>
    <row r="24" spans="1:14" x14ac:dyDescent="0.25">
      <c r="B24" s="28" t="s">
        <v>313</v>
      </c>
      <c r="C24" s="28"/>
      <c r="D24" s="28"/>
    </row>
    <row r="25" spans="1:14" x14ac:dyDescent="0.25">
      <c r="B25" s="2" t="s">
        <v>314</v>
      </c>
    </row>
    <row r="26" spans="1:14" x14ac:dyDescent="0.25">
      <c r="A26" s="5">
        <v>45807</v>
      </c>
      <c r="B26" s="1" t="s">
        <v>317</v>
      </c>
      <c r="G26" s="39" t="s">
        <v>28</v>
      </c>
      <c r="H26" s="39"/>
      <c r="I26" s="39"/>
      <c r="J26" s="39"/>
      <c r="K26" s="39"/>
      <c r="L26" s="39"/>
      <c r="M26" s="39"/>
    </row>
    <row r="27" spans="1:14" x14ac:dyDescent="0.25">
      <c r="A27" t="s">
        <v>25</v>
      </c>
      <c r="B27" t="s">
        <v>26</v>
      </c>
      <c r="E27" s="3">
        <f>10*1140</f>
        <v>11400</v>
      </c>
      <c r="G27" s="39"/>
      <c r="H27" s="39"/>
      <c r="I27" s="39"/>
      <c r="J27" s="39"/>
      <c r="K27" s="39"/>
      <c r="L27" s="39"/>
      <c r="M27" s="39"/>
    </row>
    <row r="28" spans="1:14" x14ac:dyDescent="0.25">
      <c r="A28" t="s">
        <v>27</v>
      </c>
      <c r="B28" t="s">
        <v>24</v>
      </c>
      <c r="E28" s="3">
        <f>+F29-E27</f>
        <v>100</v>
      </c>
      <c r="N28">
        <f>7133423.29/2</f>
        <v>3566711.645</v>
      </c>
    </row>
    <row r="29" spans="1:14" x14ac:dyDescent="0.25">
      <c r="C29" t="s">
        <v>17</v>
      </c>
      <c r="D29" t="s">
        <v>18</v>
      </c>
      <c r="F29" s="3">
        <f>+E17</f>
        <v>11500</v>
      </c>
    </row>
    <row r="31" spans="1:14" x14ac:dyDescent="0.25">
      <c r="F31" s="4"/>
    </row>
    <row r="32" spans="1:14" x14ac:dyDescent="0.25">
      <c r="A32" s="9">
        <v>45807</v>
      </c>
      <c r="B32" s="2" t="s">
        <v>315</v>
      </c>
      <c r="F32" s="4"/>
      <c r="G32" s="39" t="s">
        <v>318</v>
      </c>
      <c r="H32" s="39"/>
      <c r="I32" s="39"/>
      <c r="J32" s="39"/>
      <c r="K32" s="39"/>
      <c r="L32" s="39"/>
      <c r="M32" s="39"/>
    </row>
    <row r="33" spans="1:13" x14ac:dyDescent="0.25">
      <c r="A33" t="s">
        <v>155</v>
      </c>
      <c r="B33" t="s">
        <v>316</v>
      </c>
      <c r="F33" s="4"/>
      <c r="G33" s="39"/>
      <c r="H33" s="39"/>
      <c r="I33" s="39"/>
      <c r="J33" s="39"/>
      <c r="K33" s="39"/>
      <c r="L33" s="39"/>
      <c r="M33" s="39"/>
    </row>
    <row r="34" spans="1:13" x14ac:dyDescent="0.25">
      <c r="A34" t="s">
        <v>27</v>
      </c>
      <c r="B34" t="s">
        <v>24</v>
      </c>
      <c r="E34" s="3">
        <f>10*1150</f>
        <v>11500</v>
      </c>
      <c r="F34" s="4"/>
    </row>
    <row r="35" spans="1:13" x14ac:dyDescent="0.25">
      <c r="C35" t="s">
        <v>17</v>
      </c>
      <c r="D35" t="s">
        <v>18</v>
      </c>
      <c r="F35" s="3">
        <f>+E34</f>
        <v>11500</v>
      </c>
    </row>
  </sheetData>
  <mergeCells count="3">
    <mergeCell ref="G20:M21"/>
    <mergeCell ref="G26:M27"/>
    <mergeCell ref="G32:M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1F8A3-BEC7-4205-B694-DF5CF49572A2}">
  <dimension ref="A1:P88"/>
  <sheetViews>
    <sheetView topLeftCell="A69" zoomScale="70" zoomScaleNormal="70" workbookViewId="0">
      <selection activeCell="A64" sqref="A64:I84"/>
    </sheetView>
  </sheetViews>
  <sheetFormatPr baseColWidth="10" defaultRowHeight="15" x14ac:dyDescent="0.25"/>
  <cols>
    <col min="1" max="1" width="25.5703125" bestFit="1" customWidth="1"/>
    <col min="2" max="2" width="13.85546875" customWidth="1"/>
    <col min="3" max="3" width="15.85546875" customWidth="1"/>
    <col min="4" max="4" width="37.28515625" bestFit="1" customWidth="1"/>
    <col min="5" max="5" width="14.42578125" customWidth="1"/>
    <col min="6" max="6" width="15" bestFit="1" customWidth="1"/>
    <col min="7" max="7" width="16.85546875" customWidth="1"/>
    <col min="8" max="9" width="13.85546875" bestFit="1" customWidth="1"/>
  </cols>
  <sheetData>
    <row r="1" spans="1:11" ht="19.5" thickBot="1" x14ac:dyDescent="0.35">
      <c r="A1" s="7" t="s">
        <v>46</v>
      </c>
    </row>
    <row r="2" spans="1:11" ht="19.5" thickBot="1" x14ac:dyDescent="0.35">
      <c r="A2" s="49" t="s">
        <v>326</v>
      </c>
      <c r="B2" s="50"/>
      <c r="C2" s="50"/>
      <c r="D2" s="50"/>
      <c r="E2" s="50"/>
      <c r="F2" s="50"/>
      <c r="G2" s="50"/>
      <c r="H2" s="50"/>
      <c r="I2" s="50"/>
      <c r="J2" s="51"/>
    </row>
    <row r="3" spans="1:11" x14ac:dyDescent="0.25">
      <c r="A3" t="s">
        <v>29</v>
      </c>
      <c r="B3" t="s">
        <v>30</v>
      </c>
      <c r="E3" s="4">
        <v>1000</v>
      </c>
      <c r="J3" t="s">
        <v>41</v>
      </c>
    </row>
    <row r="4" spans="1:11" x14ac:dyDescent="0.25">
      <c r="C4" t="s">
        <v>31</v>
      </c>
      <c r="D4" t="s">
        <v>32</v>
      </c>
      <c r="F4" s="4">
        <v>1000</v>
      </c>
    </row>
    <row r="5" spans="1:11" x14ac:dyDescent="0.25">
      <c r="J5" t="s">
        <v>50</v>
      </c>
      <c r="K5" t="s">
        <v>63</v>
      </c>
    </row>
    <row r="6" spans="1:11" x14ac:dyDescent="0.25">
      <c r="J6" t="s">
        <v>51</v>
      </c>
      <c r="K6" t="s">
        <v>64</v>
      </c>
    </row>
    <row r="7" spans="1:11" x14ac:dyDescent="0.25">
      <c r="J7" t="s">
        <v>52</v>
      </c>
      <c r="K7" t="s">
        <v>65</v>
      </c>
    </row>
    <row r="8" spans="1:11" x14ac:dyDescent="0.25">
      <c r="J8" t="s">
        <v>53</v>
      </c>
      <c r="K8" t="s">
        <v>66</v>
      </c>
    </row>
    <row r="9" spans="1:11" x14ac:dyDescent="0.25">
      <c r="J9" t="s">
        <v>54</v>
      </c>
      <c r="K9" t="s">
        <v>67</v>
      </c>
    </row>
    <row r="10" spans="1:11" x14ac:dyDescent="0.25">
      <c r="J10" t="s">
        <v>55</v>
      </c>
      <c r="K10" t="s">
        <v>68</v>
      </c>
    </row>
    <row r="11" spans="1:11" x14ac:dyDescent="0.25">
      <c r="J11" t="s">
        <v>56</v>
      </c>
      <c r="K11" t="s">
        <v>69</v>
      </c>
    </row>
    <row r="12" spans="1:11" x14ac:dyDescent="0.25">
      <c r="J12" t="s">
        <v>57</v>
      </c>
      <c r="K12" t="s">
        <v>70</v>
      </c>
    </row>
    <row r="13" spans="1:11" x14ac:dyDescent="0.25">
      <c r="J13" t="s">
        <v>58</v>
      </c>
      <c r="K13" t="s">
        <v>71</v>
      </c>
    </row>
    <row r="14" spans="1:11" x14ac:dyDescent="0.25">
      <c r="J14" t="s">
        <v>59</v>
      </c>
      <c r="K14" t="s">
        <v>72</v>
      </c>
    </row>
    <row r="15" spans="1:11" x14ac:dyDescent="0.25">
      <c r="J15" t="s">
        <v>60</v>
      </c>
      <c r="K15" t="s">
        <v>73</v>
      </c>
    </row>
    <row r="16" spans="1:11" x14ac:dyDescent="0.25">
      <c r="J16" t="s">
        <v>61</v>
      </c>
      <c r="K16" t="s">
        <v>62</v>
      </c>
    </row>
    <row r="28" spans="1:16" x14ac:dyDescent="0.25">
      <c r="A28" s="1" t="s">
        <v>36</v>
      </c>
      <c r="G28" t="s">
        <v>44</v>
      </c>
      <c r="H28">
        <v>126</v>
      </c>
      <c r="I28" t="s">
        <v>43</v>
      </c>
    </row>
    <row r="29" spans="1:16" x14ac:dyDescent="0.25">
      <c r="G29" t="s">
        <v>42</v>
      </c>
      <c r="H29">
        <v>30</v>
      </c>
    </row>
    <row r="30" spans="1:16" x14ac:dyDescent="0.25">
      <c r="A30" t="s">
        <v>31</v>
      </c>
      <c r="B30" t="s">
        <v>32</v>
      </c>
      <c r="D30" s="4">
        <f>+SUM(E31:E32)</f>
        <v>1103.5616438356165</v>
      </c>
    </row>
    <row r="31" spans="1:16" x14ac:dyDescent="0.25">
      <c r="C31" t="s">
        <v>29</v>
      </c>
      <c r="D31" t="s">
        <v>30</v>
      </c>
      <c r="E31" s="4">
        <f>+F4</f>
        <v>1000</v>
      </c>
    </row>
    <row r="32" spans="1:16" x14ac:dyDescent="0.25">
      <c r="C32" t="s">
        <v>33</v>
      </c>
      <c r="D32" t="s">
        <v>34</v>
      </c>
      <c r="E32" s="4">
        <f>+E31*(H28/100)/365*H29</f>
        <v>103.56164383561644</v>
      </c>
      <c r="F32" s="4"/>
      <c r="G32" s="40" t="s">
        <v>45</v>
      </c>
      <c r="H32" s="41"/>
      <c r="I32" s="41"/>
      <c r="J32" s="41"/>
      <c r="K32" s="41"/>
      <c r="L32" s="41"/>
      <c r="M32" s="41"/>
      <c r="N32" s="41"/>
      <c r="O32" s="41"/>
      <c r="P32" s="42"/>
    </row>
    <row r="33" spans="1:16" x14ac:dyDescent="0.25">
      <c r="A33" t="s">
        <v>29</v>
      </c>
      <c r="B33" t="s">
        <v>30</v>
      </c>
      <c r="D33" s="4">
        <f>+D30</f>
        <v>1103.5616438356165</v>
      </c>
      <c r="G33" s="43"/>
      <c r="H33" s="44"/>
      <c r="I33" s="44"/>
      <c r="J33" s="44"/>
      <c r="K33" s="44"/>
      <c r="L33" s="44"/>
      <c r="M33" s="44"/>
      <c r="N33" s="44"/>
      <c r="O33" s="44"/>
      <c r="P33" s="45"/>
    </row>
    <row r="34" spans="1:16" x14ac:dyDescent="0.25">
      <c r="C34" t="s">
        <v>31</v>
      </c>
      <c r="D34" t="s">
        <v>32</v>
      </c>
      <c r="E34" s="4">
        <f>+D33</f>
        <v>1103.5616438356165</v>
      </c>
      <c r="G34" s="43"/>
      <c r="H34" s="44"/>
      <c r="I34" s="44"/>
      <c r="J34" s="44"/>
      <c r="K34" s="44"/>
      <c r="L34" s="44"/>
      <c r="M34" s="44"/>
      <c r="N34" s="44"/>
      <c r="O34" s="44"/>
      <c r="P34" s="45"/>
    </row>
    <row r="35" spans="1:16" x14ac:dyDescent="0.25">
      <c r="G35" s="46"/>
      <c r="H35" s="47"/>
      <c r="I35" s="47"/>
      <c r="J35" s="47"/>
      <c r="K35" s="47"/>
      <c r="L35" s="47"/>
      <c r="M35" s="47"/>
      <c r="N35" s="47"/>
      <c r="O35" s="47"/>
      <c r="P35" s="48"/>
    </row>
    <row r="57" spans="1:10" x14ac:dyDescent="0.25">
      <c r="A57" s="1" t="s">
        <v>35</v>
      </c>
    </row>
    <row r="58" spans="1:10" x14ac:dyDescent="0.25">
      <c r="A58" t="s">
        <v>31</v>
      </c>
      <c r="B58" t="s">
        <v>32</v>
      </c>
      <c r="D58" s="4">
        <f>+D30</f>
        <v>1103.5616438356165</v>
      </c>
    </row>
    <row r="59" spans="1:10" x14ac:dyDescent="0.25">
      <c r="C59" t="s">
        <v>29</v>
      </c>
      <c r="D59" t="s">
        <v>30</v>
      </c>
      <c r="E59" s="4">
        <f>+E31</f>
        <v>1000</v>
      </c>
    </row>
    <row r="60" spans="1:10" x14ac:dyDescent="0.25">
      <c r="C60" t="s">
        <v>33</v>
      </c>
      <c r="D60" t="s">
        <v>34</v>
      </c>
      <c r="E60" s="4">
        <f>+E32</f>
        <v>103.56164383561644</v>
      </c>
    </row>
    <row r="62" spans="1:10" ht="15.75" thickBot="1" x14ac:dyDescent="0.3"/>
    <row r="63" spans="1:10" ht="19.5" thickBot="1" x14ac:dyDescent="0.35">
      <c r="A63" s="49" t="s">
        <v>327</v>
      </c>
      <c r="B63" s="50"/>
      <c r="C63" s="50"/>
      <c r="D63" s="50"/>
      <c r="E63" s="50"/>
      <c r="F63" s="50"/>
      <c r="G63" s="50"/>
      <c r="H63" s="50"/>
      <c r="I63" s="50"/>
      <c r="J63" s="51"/>
    </row>
    <row r="64" spans="1:10" x14ac:dyDescent="0.25">
      <c r="A64" t="s">
        <v>37</v>
      </c>
      <c r="B64" t="s">
        <v>40</v>
      </c>
    </row>
    <row r="65" spans="1:8" x14ac:dyDescent="0.25">
      <c r="A65" t="s">
        <v>38</v>
      </c>
      <c r="B65" t="s">
        <v>39</v>
      </c>
    </row>
    <row r="66" spans="1:8" x14ac:dyDescent="0.25">
      <c r="A66" t="s">
        <v>328</v>
      </c>
      <c r="B66" t="s">
        <v>329</v>
      </c>
    </row>
    <row r="68" spans="1:8" x14ac:dyDescent="0.25">
      <c r="A68" t="s">
        <v>107</v>
      </c>
      <c r="B68" s="9">
        <v>45792</v>
      </c>
    </row>
    <row r="69" spans="1:8" x14ac:dyDescent="0.25">
      <c r="A69" t="s">
        <v>187</v>
      </c>
      <c r="B69" t="s">
        <v>330</v>
      </c>
      <c r="D69" t="s">
        <v>331</v>
      </c>
      <c r="E69" t="s">
        <v>332</v>
      </c>
    </row>
    <row r="70" spans="1:8" x14ac:dyDescent="0.25">
      <c r="A70" t="s">
        <v>333</v>
      </c>
      <c r="B70">
        <v>1000</v>
      </c>
      <c r="D70" t="s">
        <v>335</v>
      </c>
      <c r="E70">
        <v>126</v>
      </c>
    </row>
    <row r="71" spans="1:8" x14ac:dyDescent="0.25">
      <c r="A71" t="s">
        <v>125</v>
      </c>
      <c r="B71">
        <v>1100</v>
      </c>
      <c r="D71" t="s">
        <v>334</v>
      </c>
      <c r="E71" s="4">
        <f>+B70*E70/100/365*B72</f>
        <v>103.56164383561644</v>
      </c>
    </row>
    <row r="72" spans="1:8" x14ac:dyDescent="0.25">
      <c r="A72" t="s">
        <v>42</v>
      </c>
      <c r="B72">
        <v>30</v>
      </c>
      <c r="D72" t="s">
        <v>336</v>
      </c>
      <c r="E72" s="9">
        <f>+B68+B72</f>
        <v>45822</v>
      </c>
    </row>
    <row r="75" spans="1:8" x14ac:dyDescent="0.25">
      <c r="A75" s="5">
        <v>45792</v>
      </c>
      <c r="B75" t="s">
        <v>337</v>
      </c>
    </row>
    <row r="76" spans="1:8" x14ac:dyDescent="0.25">
      <c r="A76" t="s">
        <v>37</v>
      </c>
      <c r="B76" t="s">
        <v>40</v>
      </c>
      <c r="E76" s="4">
        <f>+B70*B71</f>
        <v>1100000</v>
      </c>
      <c r="F76" s="4"/>
    </row>
    <row r="77" spans="1:8" x14ac:dyDescent="0.25">
      <c r="C77" t="s">
        <v>127</v>
      </c>
      <c r="D77" t="s">
        <v>128</v>
      </c>
      <c r="F77" s="4">
        <f>+E76</f>
        <v>1100000</v>
      </c>
    </row>
    <row r="79" spans="1:8" x14ac:dyDescent="0.25">
      <c r="A79" s="5">
        <v>45822</v>
      </c>
      <c r="B79" t="s">
        <v>338</v>
      </c>
      <c r="G79" t="s">
        <v>125</v>
      </c>
      <c r="H79">
        <v>1135</v>
      </c>
    </row>
    <row r="80" spans="1:8" x14ac:dyDescent="0.25">
      <c r="A80" t="s">
        <v>127</v>
      </c>
      <c r="B80" t="s">
        <v>128</v>
      </c>
      <c r="E80" s="4">
        <f>+SUM(B70,E71)*H79</f>
        <v>1252542.4657534247</v>
      </c>
      <c r="F80" s="4"/>
    </row>
    <row r="81" spans="1:9" x14ac:dyDescent="0.25">
      <c r="C81" t="s">
        <v>33</v>
      </c>
      <c r="D81" t="s">
        <v>34</v>
      </c>
      <c r="E81" s="4"/>
      <c r="F81" s="4">
        <f>+E71*H79</f>
        <v>117542.46575342465</v>
      </c>
      <c r="H81" s="4"/>
      <c r="I81" s="4"/>
    </row>
    <row r="82" spans="1:9" x14ac:dyDescent="0.25">
      <c r="C82" t="s">
        <v>27</v>
      </c>
      <c r="D82" t="s">
        <v>24</v>
      </c>
      <c r="E82" s="4"/>
      <c r="F82" s="4">
        <f>+B70*(H79-B71)</f>
        <v>35000</v>
      </c>
      <c r="H82" s="4"/>
    </row>
    <row r="83" spans="1:9" x14ac:dyDescent="0.25">
      <c r="C83" t="s">
        <v>37</v>
      </c>
      <c r="D83" t="s">
        <v>40</v>
      </c>
      <c r="E83" s="4"/>
      <c r="F83" s="4">
        <f>+E76</f>
        <v>1100000</v>
      </c>
      <c r="H83" s="4"/>
    </row>
    <row r="85" spans="1:9" x14ac:dyDescent="0.25">
      <c r="A85" s="1"/>
      <c r="E85" s="4"/>
      <c r="F85" s="4"/>
      <c r="G85" s="4"/>
    </row>
    <row r="86" spans="1:9" x14ac:dyDescent="0.25">
      <c r="D86" s="4"/>
    </row>
    <row r="87" spans="1:9" x14ac:dyDescent="0.25">
      <c r="E87" s="4"/>
    </row>
    <row r="88" spans="1:9" x14ac:dyDescent="0.25">
      <c r="E88" s="4"/>
    </row>
  </sheetData>
  <mergeCells count="3">
    <mergeCell ref="G32:P35"/>
    <mergeCell ref="A2:J2"/>
    <mergeCell ref="A63:J6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A80BE-9480-4232-A58D-88871D7ABFA5}">
  <dimension ref="A1:P75"/>
  <sheetViews>
    <sheetView topLeftCell="B14" zoomScale="80" zoomScaleNormal="80" workbookViewId="0">
      <selection activeCell="J16" sqref="J16"/>
    </sheetView>
  </sheetViews>
  <sheetFormatPr baseColWidth="10" defaultRowHeight="15" x14ac:dyDescent="0.25"/>
  <cols>
    <col min="1" max="1" width="18.42578125" customWidth="1"/>
    <col min="2" max="2" width="17.5703125" customWidth="1"/>
    <col min="4" max="4" width="40.7109375" bestFit="1" customWidth="1"/>
    <col min="5" max="5" width="16" bestFit="1" customWidth="1"/>
    <col min="6" max="6" width="17.28515625" customWidth="1"/>
    <col min="8" max="8" width="18.42578125" bestFit="1" customWidth="1"/>
    <col min="9" max="9" width="16.85546875" customWidth="1"/>
    <col min="10" max="10" width="13.5703125" bestFit="1" customWidth="1"/>
    <col min="11" max="11" width="16.28515625" bestFit="1" customWidth="1"/>
    <col min="12" max="12" width="16.28515625" customWidth="1"/>
    <col min="13" max="13" width="22.42578125" customWidth="1"/>
  </cols>
  <sheetData>
    <row r="1" spans="1:13" ht="18.75" x14ac:dyDescent="0.3">
      <c r="A1" s="7" t="s">
        <v>48</v>
      </c>
    </row>
    <row r="2" spans="1:13" s="2" customFormat="1" x14ac:dyDescent="0.25">
      <c r="A2" s="2" t="s">
        <v>49</v>
      </c>
      <c r="K2" s="2" t="s">
        <v>104</v>
      </c>
    </row>
    <row r="3" spans="1:13" x14ac:dyDescent="0.25">
      <c r="A3" t="s">
        <v>74</v>
      </c>
      <c r="B3" t="s">
        <v>90</v>
      </c>
      <c r="K3" t="s">
        <v>85</v>
      </c>
      <c r="L3" t="s">
        <v>91</v>
      </c>
    </row>
    <row r="4" spans="1:13" x14ac:dyDescent="0.25">
      <c r="A4" t="s">
        <v>75</v>
      </c>
      <c r="B4" t="s">
        <v>92</v>
      </c>
      <c r="K4" t="s">
        <v>86</v>
      </c>
      <c r="L4" t="s">
        <v>93</v>
      </c>
    </row>
    <row r="5" spans="1:13" x14ac:dyDescent="0.25">
      <c r="A5" t="s">
        <v>76</v>
      </c>
      <c r="B5" t="s">
        <v>94</v>
      </c>
      <c r="K5" t="s">
        <v>87</v>
      </c>
      <c r="L5" t="s">
        <v>95</v>
      </c>
    </row>
    <row r="6" spans="1:13" x14ac:dyDescent="0.25">
      <c r="A6" t="s">
        <v>77</v>
      </c>
      <c r="B6" t="s">
        <v>96</v>
      </c>
      <c r="K6" t="s">
        <v>88</v>
      </c>
      <c r="L6" t="s">
        <v>97</v>
      </c>
    </row>
    <row r="7" spans="1:13" x14ac:dyDescent="0.25">
      <c r="A7" t="s">
        <v>78</v>
      </c>
      <c r="B7" t="s">
        <v>98</v>
      </c>
      <c r="K7" t="s">
        <v>89</v>
      </c>
      <c r="L7" t="s">
        <v>99</v>
      </c>
    </row>
    <row r="8" spans="1:13" x14ac:dyDescent="0.25">
      <c r="A8" t="s">
        <v>79</v>
      </c>
      <c r="B8" t="s">
        <v>100</v>
      </c>
    </row>
    <row r="9" spans="1:13" x14ac:dyDescent="0.25">
      <c r="A9" t="s">
        <v>80</v>
      </c>
      <c r="B9" t="s">
        <v>101</v>
      </c>
      <c r="H9" s="1" t="s">
        <v>119</v>
      </c>
      <c r="I9" t="s">
        <v>120</v>
      </c>
      <c r="J9" t="s">
        <v>142</v>
      </c>
    </row>
    <row r="10" spans="1:13" x14ac:dyDescent="0.25">
      <c r="A10" t="s">
        <v>81</v>
      </c>
      <c r="B10" t="s">
        <v>82</v>
      </c>
      <c r="H10" s="1"/>
    </row>
    <row r="11" spans="1:13" x14ac:dyDescent="0.25">
      <c r="A11" t="s">
        <v>83</v>
      </c>
      <c r="B11" t="s">
        <v>102</v>
      </c>
      <c r="H11" s="1"/>
      <c r="I11" t="s">
        <v>123</v>
      </c>
      <c r="J11" t="s">
        <v>141</v>
      </c>
    </row>
    <row r="12" spans="1:13" x14ac:dyDescent="0.25">
      <c r="A12" t="s">
        <v>84</v>
      </c>
      <c r="B12" t="s">
        <v>103</v>
      </c>
    </row>
    <row r="14" spans="1:13" ht="15.75" thickBot="1" x14ac:dyDescent="0.3">
      <c r="A14" s="1" t="s">
        <v>105</v>
      </c>
      <c r="B14" t="s">
        <v>138</v>
      </c>
    </row>
    <row r="15" spans="1:13" ht="15.75" thickBot="1" x14ac:dyDescent="0.3">
      <c r="A15" s="1" t="s">
        <v>139</v>
      </c>
      <c r="B15" t="s">
        <v>140</v>
      </c>
      <c r="H15" s="52" t="s">
        <v>339</v>
      </c>
      <c r="I15" s="53"/>
      <c r="J15" s="53"/>
      <c r="K15" s="53"/>
      <c r="L15" s="53"/>
      <c r="M15" s="54"/>
    </row>
    <row r="16" spans="1:13" x14ac:dyDescent="0.25">
      <c r="A16" s="1" t="s">
        <v>119</v>
      </c>
      <c r="B16" t="s">
        <v>120</v>
      </c>
      <c r="C16" t="s">
        <v>122</v>
      </c>
      <c r="H16" s="8" t="s">
        <v>107</v>
      </c>
      <c r="I16" s="9">
        <v>45804</v>
      </c>
      <c r="M16" s="10"/>
    </row>
    <row r="17" spans="1:16" x14ac:dyDescent="0.25">
      <c r="A17" s="1"/>
      <c r="C17" t="s">
        <v>121</v>
      </c>
      <c r="H17" s="8" t="s">
        <v>108</v>
      </c>
      <c r="I17" t="s">
        <v>109</v>
      </c>
      <c r="M17" s="10"/>
    </row>
    <row r="18" spans="1:16" x14ac:dyDescent="0.25">
      <c r="A18" s="1"/>
      <c r="B18" t="s">
        <v>123</v>
      </c>
      <c r="C18" t="s">
        <v>124</v>
      </c>
      <c r="H18" s="8" t="s">
        <v>110</v>
      </c>
      <c r="I18" s="4">
        <v>88.855122303041242</v>
      </c>
      <c r="M18" s="10"/>
    </row>
    <row r="19" spans="1:16" x14ac:dyDescent="0.25">
      <c r="A19" s="1"/>
      <c r="H19" s="8" t="s">
        <v>111</v>
      </c>
      <c r="I19" s="11">
        <v>1.004875</v>
      </c>
      <c r="M19" s="10"/>
    </row>
    <row r="20" spans="1:16" ht="15.75" thickBot="1" x14ac:dyDescent="0.3">
      <c r="H20" s="8" t="s">
        <v>125</v>
      </c>
      <c r="I20" s="4">
        <v>1119.9676783243617</v>
      </c>
      <c r="J20" s="4"/>
      <c r="K20" s="4"/>
      <c r="M20" s="10"/>
    </row>
    <row r="21" spans="1:16" ht="15.75" thickBot="1" x14ac:dyDescent="0.3">
      <c r="A21" s="52" t="s">
        <v>26</v>
      </c>
      <c r="B21" s="53"/>
      <c r="C21" s="53"/>
      <c r="D21" s="53"/>
      <c r="E21" s="53"/>
      <c r="F21" s="54"/>
      <c r="H21" s="8" t="s">
        <v>112</v>
      </c>
      <c r="I21" s="3">
        <f>+ROUND(I18*I20*I19,2)</f>
        <v>100000</v>
      </c>
      <c r="J21" s="4"/>
      <c r="M21" s="10"/>
    </row>
    <row r="22" spans="1:16" x14ac:dyDescent="0.25">
      <c r="A22" s="8" t="s">
        <v>107</v>
      </c>
      <c r="B22" s="9">
        <v>45876</v>
      </c>
      <c r="F22" s="10"/>
      <c r="H22" s="8" t="s">
        <v>113</v>
      </c>
      <c r="M22" s="10"/>
    </row>
    <row r="23" spans="1:16" x14ac:dyDescent="0.25">
      <c r="A23" s="8" t="s">
        <v>108</v>
      </c>
      <c r="B23" t="s">
        <v>109</v>
      </c>
      <c r="F23" s="10"/>
      <c r="H23" s="8"/>
      <c r="M23" s="10"/>
    </row>
    <row r="24" spans="1:16" x14ac:dyDescent="0.25">
      <c r="A24" s="8" t="s">
        <v>110</v>
      </c>
      <c r="B24">
        <v>15.208</v>
      </c>
      <c r="F24" s="10"/>
      <c r="H24" s="12">
        <v>45804</v>
      </c>
      <c r="I24" s="1" t="s">
        <v>323</v>
      </c>
      <c r="M24" s="10"/>
    </row>
    <row r="25" spans="1:16" x14ac:dyDescent="0.25">
      <c r="A25" s="8" t="s">
        <v>111</v>
      </c>
      <c r="B25" s="11">
        <v>65.753889999999998</v>
      </c>
      <c r="F25" s="10"/>
      <c r="H25" s="8" t="s">
        <v>85</v>
      </c>
      <c r="I25" t="s">
        <v>126</v>
      </c>
      <c r="L25" s="3">
        <f>+I21</f>
        <v>100000</v>
      </c>
      <c r="M25" s="10"/>
    </row>
    <row r="26" spans="1:16" x14ac:dyDescent="0.25">
      <c r="A26" s="8" t="s">
        <v>112</v>
      </c>
      <c r="B26" s="3">
        <f>+ROUND(B24*B25,0)</f>
        <v>1000</v>
      </c>
      <c r="F26" s="10"/>
      <c r="H26" s="8"/>
      <c r="J26" t="s">
        <v>127</v>
      </c>
      <c r="K26" t="s">
        <v>128</v>
      </c>
      <c r="M26" s="13">
        <f>+I21</f>
        <v>100000</v>
      </c>
    </row>
    <row r="27" spans="1:16" x14ac:dyDescent="0.25">
      <c r="A27" s="8" t="s">
        <v>113</v>
      </c>
      <c r="B27">
        <v>2334297</v>
      </c>
      <c r="C27" t="s">
        <v>26</v>
      </c>
      <c r="F27" s="10"/>
      <c r="H27" s="8"/>
      <c r="M27" s="10"/>
    </row>
    <row r="28" spans="1:16" x14ac:dyDescent="0.25">
      <c r="A28" s="8"/>
      <c r="F28" s="10"/>
      <c r="H28" s="8"/>
      <c r="M28" s="10"/>
    </row>
    <row r="29" spans="1:16" x14ac:dyDescent="0.25">
      <c r="A29" s="12">
        <v>45876</v>
      </c>
      <c r="B29" s="1" t="s">
        <v>319</v>
      </c>
      <c r="F29" s="10"/>
      <c r="H29" s="8" t="s">
        <v>107</v>
      </c>
      <c r="I29" s="9">
        <v>45868</v>
      </c>
      <c r="M29" s="10"/>
    </row>
    <row r="30" spans="1:16" x14ac:dyDescent="0.25">
      <c r="A30" s="8" t="s">
        <v>84</v>
      </c>
      <c r="B30" t="s">
        <v>106</v>
      </c>
      <c r="E30" s="3">
        <f>+B26</f>
        <v>1000</v>
      </c>
      <c r="F30" s="10"/>
      <c r="H30" s="8" t="s">
        <v>108</v>
      </c>
      <c r="I30" t="s">
        <v>114</v>
      </c>
      <c r="M30" s="10"/>
    </row>
    <row r="31" spans="1:16" ht="15" customHeight="1" x14ac:dyDescent="0.25">
      <c r="A31" s="8"/>
      <c r="C31" t="s">
        <v>9</v>
      </c>
      <c r="D31" t="s">
        <v>10</v>
      </c>
      <c r="F31" s="13">
        <f>+B26</f>
        <v>1000</v>
      </c>
      <c r="H31" s="8" t="s">
        <v>110</v>
      </c>
      <c r="I31">
        <v>50.623800000000003</v>
      </c>
      <c r="M31" s="10"/>
      <c r="P31" s="20"/>
    </row>
    <row r="32" spans="1:16" x14ac:dyDescent="0.25">
      <c r="A32" s="8"/>
      <c r="F32" s="10"/>
      <c r="H32" s="8" t="s">
        <v>111</v>
      </c>
      <c r="I32" s="11">
        <v>1.0074320000000001</v>
      </c>
      <c r="M32" s="10"/>
      <c r="P32" s="20"/>
    </row>
    <row r="33" spans="1:16" x14ac:dyDescent="0.25">
      <c r="A33" s="8"/>
      <c r="F33" s="10"/>
      <c r="H33" s="8" t="s">
        <v>129</v>
      </c>
      <c r="I33" s="3">
        <v>1249.9991156476842</v>
      </c>
      <c r="M33" s="10"/>
      <c r="P33" s="20"/>
    </row>
    <row r="34" spans="1:16" x14ac:dyDescent="0.25">
      <c r="A34" s="8" t="s">
        <v>107</v>
      </c>
      <c r="B34" s="9">
        <v>45897</v>
      </c>
      <c r="F34" s="10"/>
      <c r="H34" s="8" t="s">
        <v>112</v>
      </c>
      <c r="I34" s="18">
        <f>+I31*I33*I32</f>
        <v>63749.999999999993</v>
      </c>
      <c r="M34" s="10"/>
      <c r="P34" s="20"/>
    </row>
    <row r="35" spans="1:16" x14ac:dyDescent="0.25">
      <c r="A35" s="8" t="s">
        <v>108</v>
      </c>
      <c r="B35" t="s">
        <v>114</v>
      </c>
      <c r="F35" s="10"/>
      <c r="H35" s="8" t="s">
        <v>113</v>
      </c>
      <c r="M35" s="10"/>
    </row>
    <row r="36" spans="1:16" x14ac:dyDescent="0.25">
      <c r="A36" s="8" t="s">
        <v>110</v>
      </c>
      <c r="B36">
        <v>1</v>
      </c>
      <c r="F36" s="10"/>
      <c r="H36" s="8"/>
      <c r="M36" s="10"/>
    </row>
    <row r="37" spans="1:16" ht="46.5" customHeight="1" x14ac:dyDescent="0.25">
      <c r="A37" s="8" t="s">
        <v>111</v>
      </c>
      <c r="B37" s="11">
        <v>67.230850000000004</v>
      </c>
      <c r="F37" s="10"/>
      <c r="H37" s="8"/>
      <c r="M37" s="10"/>
    </row>
    <row r="38" spans="1:16" x14ac:dyDescent="0.25">
      <c r="A38" s="8" t="s">
        <v>112</v>
      </c>
      <c r="B38" s="3">
        <f>+ROUND(B36*B37,0)</f>
        <v>67</v>
      </c>
      <c r="D38" t="s">
        <v>115</v>
      </c>
      <c r="F38" s="10"/>
      <c r="H38" s="12">
        <v>45868</v>
      </c>
      <c r="I38" s="1" t="s">
        <v>130</v>
      </c>
      <c r="M38" s="10"/>
    </row>
    <row r="39" spans="1:16" x14ac:dyDescent="0.25">
      <c r="A39" s="8" t="s">
        <v>113</v>
      </c>
      <c r="B39">
        <v>2334297</v>
      </c>
      <c r="C39" t="s">
        <v>26</v>
      </c>
      <c r="F39" s="10"/>
      <c r="H39" s="8" t="s">
        <v>127</v>
      </c>
      <c r="I39" t="s">
        <v>128</v>
      </c>
      <c r="L39" s="3">
        <f>+I33</f>
        <v>1249.9991156476842</v>
      </c>
      <c r="M39" s="10"/>
    </row>
    <row r="40" spans="1:16" x14ac:dyDescent="0.25">
      <c r="A40" s="8"/>
      <c r="F40" s="10"/>
      <c r="H40" s="8" t="s">
        <v>155</v>
      </c>
      <c r="I40" t="s">
        <v>156</v>
      </c>
      <c r="L40" s="3">
        <v>62500</v>
      </c>
      <c r="M40" s="10"/>
    </row>
    <row r="41" spans="1:16" x14ac:dyDescent="0.25">
      <c r="A41" s="12">
        <v>45897</v>
      </c>
      <c r="B41" s="1" t="s">
        <v>320</v>
      </c>
      <c r="F41" s="10"/>
      <c r="H41" s="14"/>
      <c r="I41" s="15"/>
      <c r="J41" s="15" t="s">
        <v>85</v>
      </c>
      <c r="K41" s="15" t="s">
        <v>126</v>
      </c>
      <c r="L41" s="15"/>
      <c r="M41" s="16">
        <f>+L39+L40</f>
        <v>63749.999115647683</v>
      </c>
    </row>
    <row r="42" spans="1:16" x14ac:dyDescent="0.25">
      <c r="A42" s="8" t="s">
        <v>9</v>
      </c>
      <c r="B42" t="s">
        <v>10</v>
      </c>
      <c r="E42" s="3">
        <f>+B38</f>
        <v>67</v>
      </c>
      <c r="F42" s="10"/>
    </row>
    <row r="43" spans="1:16" x14ac:dyDescent="0.25">
      <c r="A43" s="14"/>
      <c r="B43" s="15"/>
      <c r="C43" s="15" t="s">
        <v>84</v>
      </c>
      <c r="D43" s="15" t="s">
        <v>106</v>
      </c>
      <c r="E43" s="15"/>
      <c r="F43" s="16">
        <f>+B38</f>
        <v>67</v>
      </c>
      <c r="H43" s="2" t="s">
        <v>146</v>
      </c>
    </row>
    <row r="45" spans="1:16" ht="15.75" thickBot="1" x14ac:dyDescent="0.3">
      <c r="I45" s="21">
        <v>45803</v>
      </c>
      <c r="K45" s="21">
        <v>45808</v>
      </c>
      <c r="M45" s="22" t="s">
        <v>24</v>
      </c>
    </row>
    <row r="46" spans="1:16" ht="15.75" thickBot="1" x14ac:dyDescent="0.3">
      <c r="A46" s="52" t="s">
        <v>116</v>
      </c>
      <c r="B46" s="53"/>
      <c r="C46" s="53"/>
      <c r="D46" s="53"/>
      <c r="E46" s="53"/>
      <c r="F46" s="54"/>
      <c r="H46" s="1" t="s">
        <v>147</v>
      </c>
      <c r="K46" t="s">
        <v>149</v>
      </c>
    </row>
    <row r="47" spans="1:16" x14ac:dyDescent="0.25">
      <c r="A47" s="8" t="s">
        <v>107</v>
      </c>
      <c r="B47" s="9">
        <v>45912</v>
      </c>
      <c r="F47" s="10"/>
      <c r="H47" t="s">
        <v>148</v>
      </c>
      <c r="I47">
        <v>100</v>
      </c>
    </row>
    <row r="48" spans="1:16" x14ac:dyDescent="0.25">
      <c r="A48" s="8" t="s">
        <v>108</v>
      </c>
      <c r="B48" t="s">
        <v>109</v>
      </c>
      <c r="F48" s="10"/>
      <c r="H48" t="s">
        <v>111</v>
      </c>
      <c r="I48">
        <v>14.553199747017231</v>
      </c>
      <c r="K48">
        <v>14.593463999984916</v>
      </c>
    </row>
    <row r="49" spans="1:14" x14ac:dyDescent="0.25">
      <c r="A49" s="8" t="s">
        <v>110</v>
      </c>
      <c r="B49">
        <v>61.566062835752099</v>
      </c>
      <c r="F49" s="10"/>
      <c r="I49" s="4">
        <f>+I47*I48</f>
        <v>1455.3199747017231</v>
      </c>
      <c r="K49" s="4">
        <f>+K48*I47</f>
        <v>1459.3463999984915</v>
      </c>
      <c r="M49" s="23">
        <f>+K49-I49</f>
        <v>4.026425296768366</v>
      </c>
    </row>
    <row r="50" spans="1:14" x14ac:dyDescent="0.25">
      <c r="A50" s="8" t="s">
        <v>111</v>
      </c>
      <c r="B50" s="11">
        <v>81.213573999999994</v>
      </c>
      <c r="F50" s="10"/>
    </row>
    <row r="51" spans="1:14" x14ac:dyDescent="0.25">
      <c r="A51" s="8" t="s">
        <v>112</v>
      </c>
      <c r="B51" s="3">
        <f>+ROUND(B49*B50,0)</f>
        <v>5000</v>
      </c>
      <c r="F51" s="10"/>
      <c r="H51" s="1" t="s">
        <v>150</v>
      </c>
      <c r="K51" t="s">
        <v>149</v>
      </c>
    </row>
    <row r="52" spans="1:14" x14ac:dyDescent="0.25">
      <c r="A52" s="8" t="s">
        <v>113</v>
      </c>
      <c r="B52">
        <v>329198</v>
      </c>
      <c r="F52" s="10"/>
      <c r="H52" t="s">
        <v>148</v>
      </c>
      <c r="I52">
        <v>200</v>
      </c>
    </row>
    <row r="53" spans="1:14" x14ac:dyDescent="0.25">
      <c r="A53" s="8"/>
      <c r="F53" s="10"/>
      <c r="H53" t="s">
        <v>111</v>
      </c>
      <c r="I53">
        <v>1.0049380000000001</v>
      </c>
      <c r="K53">
        <v>1.0049999999999999</v>
      </c>
    </row>
    <row r="54" spans="1:14" x14ac:dyDescent="0.25">
      <c r="A54" s="12">
        <v>45876</v>
      </c>
      <c r="B54" s="1" t="s">
        <v>321</v>
      </c>
      <c r="F54" s="10"/>
      <c r="H54" t="s">
        <v>151</v>
      </c>
      <c r="I54" s="4">
        <f>+I52*I53</f>
        <v>200.98760000000001</v>
      </c>
      <c r="K54" s="4">
        <f>+K53*I52</f>
        <v>200.99999999999997</v>
      </c>
      <c r="M54" s="23"/>
    </row>
    <row r="55" spans="1:14" x14ac:dyDescent="0.25">
      <c r="A55" s="8" t="s">
        <v>117</v>
      </c>
      <c r="B55" t="s">
        <v>118</v>
      </c>
      <c r="E55" s="3">
        <f>+B51</f>
        <v>5000</v>
      </c>
      <c r="F55" s="10"/>
      <c r="H55" t="s">
        <v>125</v>
      </c>
      <c r="I55" s="4">
        <v>1110</v>
      </c>
      <c r="K55" s="25">
        <v>1150</v>
      </c>
      <c r="N55" t="s">
        <v>153</v>
      </c>
    </row>
    <row r="56" spans="1:14" x14ac:dyDescent="0.25">
      <c r="A56" s="8"/>
      <c r="C56" t="s">
        <v>31</v>
      </c>
      <c r="D56" t="s">
        <v>32</v>
      </c>
      <c r="F56" s="13">
        <f>+B51</f>
        <v>5000</v>
      </c>
      <c r="H56" s="19" t="s">
        <v>152</v>
      </c>
      <c r="I56" s="4">
        <f>+I54*I55</f>
        <v>223096.236</v>
      </c>
      <c r="K56" s="4">
        <f>+K55*I54</f>
        <v>231135.74000000002</v>
      </c>
      <c r="M56" s="23">
        <f>+K56-I56</f>
        <v>8039.5040000000154</v>
      </c>
    </row>
    <row r="57" spans="1:14" x14ac:dyDescent="0.25">
      <c r="A57" s="8"/>
      <c r="F57" s="10"/>
    </row>
    <row r="58" spans="1:14" x14ac:dyDescent="0.25">
      <c r="A58" s="8"/>
      <c r="F58" s="10"/>
      <c r="H58" s="2" t="s">
        <v>154</v>
      </c>
    </row>
    <row r="59" spans="1:14" x14ac:dyDescent="0.25">
      <c r="A59" s="8" t="s">
        <v>107</v>
      </c>
      <c r="B59" s="9">
        <v>45898</v>
      </c>
      <c r="F59" s="10"/>
      <c r="H59" s="9">
        <v>45807</v>
      </c>
      <c r="I59" t="s">
        <v>143</v>
      </c>
    </row>
    <row r="60" spans="1:14" x14ac:dyDescent="0.25">
      <c r="A60" s="8" t="s">
        <v>108</v>
      </c>
      <c r="B60" t="s">
        <v>114</v>
      </c>
      <c r="F60" s="10"/>
      <c r="H60" t="s">
        <v>74</v>
      </c>
      <c r="I60" t="s">
        <v>144</v>
      </c>
      <c r="L60" s="4">
        <f>+M49</f>
        <v>4.026425296768366</v>
      </c>
    </row>
    <row r="61" spans="1:14" x14ac:dyDescent="0.25">
      <c r="A61" s="8" t="s">
        <v>110</v>
      </c>
      <c r="B61">
        <v>31.241186080377101</v>
      </c>
      <c r="F61" s="10"/>
      <c r="H61" t="s">
        <v>85</v>
      </c>
      <c r="I61" t="s">
        <v>145</v>
      </c>
      <c r="L61" s="4">
        <f>+M56</f>
        <v>8039.5040000000154</v>
      </c>
    </row>
    <row r="62" spans="1:14" x14ac:dyDescent="0.25">
      <c r="A62" s="8" t="s">
        <v>111</v>
      </c>
      <c r="B62" s="11">
        <v>80.022570000000002</v>
      </c>
      <c r="C62">
        <f>2500/B62</f>
        <v>31.241186080377073</v>
      </c>
      <c r="F62" s="10"/>
      <c r="J62" t="s">
        <v>134</v>
      </c>
      <c r="K62" t="s">
        <v>135</v>
      </c>
      <c r="M62" s="4">
        <f>+SUM(L60:L61)</f>
        <v>8043.5304252967835</v>
      </c>
    </row>
    <row r="63" spans="1:14" x14ac:dyDescent="0.25">
      <c r="A63" s="8" t="s">
        <v>112</v>
      </c>
      <c r="B63" s="3">
        <f>B61*B62</f>
        <v>2500.0000000000023</v>
      </c>
      <c r="F63" s="10"/>
    </row>
    <row r="64" spans="1:14" x14ac:dyDescent="0.25">
      <c r="A64" s="8" t="s">
        <v>113</v>
      </c>
      <c r="B64">
        <v>2334297</v>
      </c>
      <c r="C64" t="s">
        <v>26</v>
      </c>
      <c r="F64" s="10"/>
    </row>
    <row r="65" spans="1:6" x14ac:dyDescent="0.25">
      <c r="A65" s="8"/>
      <c r="F65" s="10"/>
    </row>
    <row r="66" spans="1:6" x14ac:dyDescent="0.25">
      <c r="A66" s="12">
        <v>45897</v>
      </c>
      <c r="B66" s="1" t="s">
        <v>322</v>
      </c>
      <c r="F66" s="10"/>
    </row>
    <row r="67" spans="1:6" x14ac:dyDescent="0.25">
      <c r="A67" t="s">
        <v>31</v>
      </c>
      <c r="B67" t="s">
        <v>32</v>
      </c>
      <c r="E67" s="3">
        <f>+B63</f>
        <v>2500.0000000000023</v>
      </c>
      <c r="F67" s="10"/>
    </row>
    <row r="68" spans="1:6" x14ac:dyDescent="0.25">
      <c r="A68" s="14"/>
      <c r="B68" s="15"/>
      <c r="C68" s="15" t="s">
        <v>117</v>
      </c>
      <c r="D68" s="15" t="s">
        <v>118</v>
      </c>
      <c r="E68" s="15"/>
      <c r="F68" s="16">
        <f>+B63</f>
        <v>2500.0000000000023</v>
      </c>
    </row>
    <row r="70" spans="1:6" x14ac:dyDescent="0.25">
      <c r="A70" s="2" t="s">
        <v>137</v>
      </c>
    </row>
    <row r="71" spans="1:6" x14ac:dyDescent="0.25">
      <c r="A71" s="9">
        <v>45898</v>
      </c>
      <c r="B71" s="1" t="s">
        <v>132</v>
      </c>
    </row>
    <row r="72" spans="1:6" x14ac:dyDescent="0.25">
      <c r="A72" t="s">
        <v>75</v>
      </c>
      <c r="B72" t="s">
        <v>133</v>
      </c>
      <c r="D72" t="s">
        <v>131</v>
      </c>
      <c r="E72" s="4">
        <v>500</v>
      </c>
    </row>
    <row r="73" spans="1:6" x14ac:dyDescent="0.25">
      <c r="A73" t="s">
        <v>84</v>
      </c>
      <c r="B73" t="s">
        <v>106</v>
      </c>
      <c r="E73" s="4">
        <v>600</v>
      </c>
    </row>
    <row r="74" spans="1:6" x14ac:dyDescent="0.25">
      <c r="A74" t="s">
        <v>86</v>
      </c>
      <c r="B74" t="s">
        <v>136</v>
      </c>
      <c r="E74" s="4">
        <v>1500</v>
      </c>
    </row>
    <row r="75" spans="1:6" x14ac:dyDescent="0.25">
      <c r="C75" t="s">
        <v>134</v>
      </c>
      <c r="D75" t="s">
        <v>135</v>
      </c>
      <c r="F75" s="4">
        <f>+SUM(E72:E74)</f>
        <v>2600</v>
      </c>
    </row>
  </sheetData>
  <mergeCells count="3">
    <mergeCell ref="A21:F21"/>
    <mergeCell ref="A46:F46"/>
    <mergeCell ref="H15:M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55C03-157A-4996-859B-291EEFB1F4F7}">
  <dimension ref="A1:J158"/>
  <sheetViews>
    <sheetView tabSelected="1" zoomScale="80" zoomScaleNormal="80" workbookViewId="0">
      <selection activeCell="D5" sqref="D5:D13"/>
    </sheetView>
  </sheetViews>
  <sheetFormatPr baseColWidth="10" defaultRowHeight="15" x14ac:dyDescent="0.25"/>
  <cols>
    <col min="1" max="1" width="17.7109375" customWidth="1"/>
    <col min="2" max="2" width="26.7109375" customWidth="1"/>
    <col min="3" max="3" width="40.85546875" bestFit="1" customWidth="1"/>
    <col min="4" max="4" width="40.85546875" customWidth="1"/>
    <col min="5" max="5" width="14.42578125" customWidth="1"/>
    <col min="6" max="6" width="13.42578125" customWidth="1"/>
    <col min="7" max="7" width="13" bestFit="1" customWidth="1"/>
    <col min="8" max="8" width="16.140625" customWidth="1"/>
    <col min="9" max="10" width="13.5703125" bestFit="1" customWidth="1"/>
  </cols>
  <sheetData>
    <row r="1" spans="2:10" x14ac:dyDescent="0.25">
      <c r="B1" s="2" t="s">
        <v>157</v>
      </c>
    </row>
    <row r="2" spans="2:10" ht="15.75" thickBot="1" x14ac:dyDescent="0.3"/>
    <row r="3" spans="2:10" ht="15.75" thickBot="1" x14ac:dyDescent="0.3">
      <c r="B3" s="55" t="s">
        <v>193</v>
      </c>
      <c r="C3" s="56"/>
      <c r="D3" s="56"/>
      <c r="E3" s="56"/>
      <c r="F3" s="56"/>
      <c r="G3" s="56"/>
      <c r="H3" s="57"/>
      <c r="I3" s="6" t="s">
        <v>197</v>
      </c>
      <c r="J3" s="27">
        <f>+SUM(H5,I7,I15)</f>
        <v>597105.75677381153</v>
      </c>
    </row>
    <row r="4" spans="2:10" x14ac:dyDescent="0.25">
      <c r="B4" s="1" t="s">
        <v>187</v>
      </c>
      <c r="C4" s="1" t="s">
        <v>188</v>
      </c>
      <c r="D4" s="61" t="s">
        <v>436</v>
      </c>
      <c r="E4" s="1" t="s">
        <v>192</v>
      </c>
      <c r="F4" s="1" t="s">
        <v>191</v>
      </c>
      <c r="G4" s="1" t="s">
        <v>189</v>
      </c>
      <c r="H4" s="6" t="s">
        <v>190</v>
      </c>
    </row>
    <row r="5" spans="2:10" x14ac:dyDescent="0.25">
      <c r="B5" s="1" t="s">
        <v>158</v>
      </c>
      <c r="C5" t="s">
        <v>159</v>
      </c>
      <c r="D5" s="62" t="s">
        <v>437</v>
      </c>
      <c r="E5" t="s">
        <v>161</v>
      </c>
      <c r="F5" s="26">
        <v>100</v>
      </c>
      <c r="G5" s="25">
        <v>1115.430210970464</v>
      </c>
      <c r="H5" s="4">
        <f>+F5*G5</f>
        <v>111543.02109704641</v>
      </c>
    </row>
    <row r="6" spans="2:10" x14ac:dyDescent="0.25">
      <c r="D6" s="62"/>
    </row>
    <row r="7" spans="2:10" x14ac:dyDescent="0.25">
      <c r="B7" s="1" t="s">
        <v>194</v>
      </c>
      <c r="D7" s="62"/>
      <c r="I7" s="27">
        <f>+SUM(H8:H13)</f>
        <v>31539.908266188209</v>
      </c>
    </row>
    <row r="8" spans="2:10" x14ac:dyDescent="0.25">
      <c r="C8" t="s">
        <v>162</v>
      </c>
      <c r="D8" s="62" t="s">
        <v>438</v>
      </c>
      <c r="E8" t="s">
        <v>161</v>
      </c>
      <c r="F8" s="26">
        <v>100</v>
      </c>
      <c r="G8" s="25">
        <v>10.787100056478112</v>
      </c>
      <c r="H8" s="4">
        <f t="shared" ref="H8:H13" si="0">+F8*G8</f>
        <v>1078.7100056478112</v>
      </c>
    </row>
    <row r="9" spans="2:10" x14ac:dyDescent="0.25">
      <c r="C9" t="s">
        <v>163</v>
      </c>
      <c r="D9" s="62" t="s">
        <v>439</v>
      </c>
      <c r="E9" t="s">
        <v>161</v>
      </c>
      <c r="F9" s="26">
        <v>100</v>
      </c>
      <c r="G9" s="25">
        <v>105.23000297225893</v>
      </c>
      <c r="H9" s="4">
        <f t="shared" si="0"/>
        <v>10523.000297225894</v>
      </c>
    </row>
    <row r="10" spans="2:10" x14ac:dyDescent="0.25">
      <c r="C10" t="s">
        <v>164</v>
      </c>
      <c r="D10" s="62" t="s">
        <v>440</v>
      </c>
      <c r="E10" t="s">
        <v>161</v>
      </c>
      <c r="F10" s="26">
        <v>100</v>
      </c>
      <c r="G10" s="25">
        <v>12.263601110824494</v>
      </c>
      <c r="H10" s="4">
        <f t="shared" si="0"/>
        <v>1226.3601110824493</v>
      </c>
    </row>
    <row r="11" spans="2:10" x14ac:dyDescent="0.25">
      <c r="C11" t="s">
        <v>165</v>
      </c>
      <c r="D11" s="62" t="s">
        <v>441</v>
      </c>
      <c r="E11" t="s">
        <v>161</v>
      </c>
      <c r="F11" s="26">
        <v>100</v>
      </c>
      <c r="G11" s="25">
        <v>166.48997809899257</v>
      </c>
      <c r="H11" s="4">
        <f t="shared" si="0"/>
        <v>16648.997809899258</v>
      </c>
    </row>
    <row r="12" spans="2:10" x14ac:dyDescent="0.25">
      <c r="C12" t="s">
        <v>166</v>
      </c>
      <c r="D12" s="62" t="s">
        <v>438</v>
      </c>
      <c r="E12" t="s">
        <v>161</v>
      </c>
      <c r="F12" s="26">
        <v>100</v>
      </c>
      <c r="G12" s="25">
        <v>10.535401686139675</v>
      </c>
      <c r="H12" s="4">
        <f t="shared" si="0"/>
        <v>1053.5401686139676</v>
      </c>
    </row>
    <row r="13" spans="2:10" x14ac:dyDescent="0.25">
      <c r="C13" t="s">
        <v>167</v>
      </c>
      <c r="D13" s="62" t="s">
        <v>442</v>
      </c>
      <c r="E13" t="s">
        <v>161</v>
      </c>
      <c r="F13" s="26">
        <v>100</v>
      </c>
      <c r="G13" s="25">
        <v>10.092998737188335</v>
      </c>
      <c r="H13" s="4">
        <f t="shared" si="0"/>
        <v>1009.2998737188335</v>
      </c>
    </row>
    <row r="15" spans="2:10" x14ac:dyDescent="0.25">
      <c r="B15" s="1" t="s">
        <v>195</v>
      </c>
      <c r="I15" s="27">
        <f>+SUM(H16:H36)</f>
        <v>454022.82741057698</v>
      </c>
    </row>
    <row r="16" spans="2:10" x14ac:dyDescent="0.25">
      <c r="C16" t="s">
        <v>168</v>
      </c>
      <c r="E16" t="s">
        <v>161</v>
      </c>
      <c r="F16" s="26">
        <v>100</v>
      </c>
      <c r="G16" s="25">
        <v>40.149989292215437</v>
      </c>
      <c r="H16" s="4">
        <f t="shared" ref="H16:H27" si="1">+F16*G16</f>
        <v>4014.9989292215437</v>
      </c>
    </row>
    <row r="17" spans="2:8" x14ac:dyDescent="0.25">
      <c r="C17" t="s">
        <v>169</v>
      </c>
      <c r="E17" t="s">
        <v>161</v>
      </c>
      <c r="F17" s="26">
        <v>100</v>
      </c>
      <c r="G17" s="25">
        <v>145.23995715050884</v>
      </c>
      <c r="H17" s="4">
        <f t="shared" si="1"/>
        <v>14523.995715050884</v>
      </c>
    </row>
    <row r="18" spans="2:8" x14ac:dyDescent="0.25">
      <c r="C18" t="s">
        <v>170</v>
      </c>
      <c r="E18" t="s">
        <v>161</v>
      </c>
      <c r="F18" s="26">
        <v>100</v>
      </c>
      <c r="G18" s="25">
        <v>108.91998523380907</v>
      </c>
      <c r="H18" s="4">
        <f t="shared" si="1"/>
        <v>10891.998523380907</v>
      </c>
    </row>
    <row r="19" spans="2:8" x14ac:dyDescent="0.25">
      <c r="C19" t="s">
        <v>171</v>
      </c>
      <c r="E19" t="s">
        <v>161</v>
      </c>
      <c r="F19" s="26">
        <v>100</v>
      </c>
      <c r="G19" s="25">
        <v>197.70002517623362</v>
      </c>
      <c r="H19" s="4">
        <f t="shared" si="1"/>
        <v>19770.002517623361</v>
      </c>
    </row>
    <row r="20" spans="2:8" x14ac:dyDescent="0.25">
      <c r="C20" t="s">
        <v>172</v>
      </c>
      <c r="E20" t="s">
        <v>161</v>
      </c>
      <c r="F20" s="26">
        <v>100</v>
      </c>
      <c r="G20" s="25">
        <v>51.053586221719385</v>
      </c>
      <c r="H20" s="4">
        <f t="shared" si="1"/>
        <v>5105.3586221719388</v>
      </c>
    </row>
    <row r="21" spans="2:8" x14ac:dyDescent="0.25">
      <c r="C21" t="s">
        <v>173</v>
      </c>
      <c r="E21" t="s">
        <v>161</v>
      </c>
      <c r="F21" s="26">
        <v>100</v>
      </c>
      <c r="G21" s="25">
        <v>133.73002228589621</v>
      </c>
      <c r="H21" s="4">
        <f t="shared" si="1"/>
        <v>13373.002228589621</v>
      </c>
    </row>
    <row r="22" spans="2:8" x14ac:dyDescent="0.25">
      <c r="C22" t="s">
        <v>174</v>
      </c>
      <c r="E22" t="s">
        <v>161</v>
      </c>
      <c r="F22" s="26">
        <v>100</v>
      </c>
      <c r="G22" s="25">
        <v>37.365001247055567</v>
      </c>
      <c r="H22" s="4">
        <f t="shared" si="1"/>
        <v>3736.5001247055566</v>
      </c>
    </row>
    <row r="23" spans="2:8" x14ac:dyDescent="0.25">
      <c r="C23" t="s">
        <v>175</v>
      </c>
      <c r="E23" t="s">
        <v>161</v>
      </c>
      <c r="F23" s="26">
        <v>100</v>
      </c>
      <c r="G23" s="25">
        <v>307.60030101031145</v>
      </c>
      <c r="H23" s="4">
        <f t="shared" si="1"/>
        <v>30760.030101031145</v>
      </c>
    </row>
    <row r="24" spans="2:8" x14ac:dyDescent="0.25">
      <c r="C24" t="s">
        <v>176</v>
      </c>
      <c r="E24" t="s">
        <v>161</v>
      </c>
      <c r="F24" s="26">
        <v>100</v>
      </c>
      <c r="G24" s="25">
        <v>270.97902935889755</v>
      </c>
      <c r="H24" s="4">
        <f t="shared" si="1"/>
        <v>27097.902935889753</v>
      </c>
    </row>
    <row r="25" spans="2:8" x14ac:dyDescent="0.25">
      <c r="C25" t="s">
        <v>177</v>
      </c>
      <c r="E25" t="s">
        <v>161</v>
      </c>
      <c r="F25" s="26">
        <v>100</v>
      </c>
      <c r="G25" s="25">
        <v>14.11299852646327</v>
      </c>
      <c r="H25" s="4">
        <f t="shared" si="1"/>
        <v>1411.2998526463271</v>
      </c>
    </row>
    <row r="26" spans="2:8" x14ac:dyDescent="0.25">
      <c r="C26" t="s">
        <v>178</v>
      </c>
      <c r="E26" t="s">
        <v>161</v>
      </c>
      <c r="F26" s="26">
        <v>100</v>
      </c>
      <c r="G26" s="25">
        <v>237.74966861231405</v>
      </c>
      <c r="H26" s="4">
        <f t="shared" si="1"/>
        <v>23774.966861231405</v>
      </c>
    </row>
    <row r="27" spans="2:8" x14ac:dyDescent="0.25">
      <c r="C27" t="s">
        <v>179</v>
      </c>
      <c r="E27" t="s">
        <v>161</v>
      </c>
      <c r="F27" s="26">
        <v>100</v>
      </c>
      <c r="G27" s="25">
        <v>1612.8602101116219</v>
      </c>
      <c r="H27" s="4">
        <f t="shared" si="1"/>
        <v>161286.0210111622</v>
      </c>
    </row>
    <row r="29" spans="2:8" x14ac:dyDescent="0.25">
      <c r="B29" s="1" t="s">
        <v>196</v>
      </c>
    </row>
    <row r="30" spans="2:8" x14ac:dyDescent="0.25">
      <c r="C30" t="s">
        <v>180</v>
      </c>
      <c r="E30" t="s">
        <v>161</v>
      </c>
      <c r="F30" s="26">
        <v>100</v>
      </c>
      <c r="G30" s="25">
        <v>1.0000114385065886</v>
      </c>
      <c r="H30" s="4">
        <f t="shared" ref="H30:H36" si="2">+F30*G30</f>
        <v>100.00114385065886</v>
      </c>
    </row>
    <row r="31" spans="2:8" x14ac:dyDescent="0.25">
      <c r="C31" t="s">
        <v>181</v>
      </c>
      <c r="E31" t="s">
        <v>161</v>
      </c>
      <c r="F31" s="26">
        <v>100</v>
      </c>
      <c r="G31" s="25">
        <v>220.7900211492227</v>
      </c>
      <c r="H31" s="4">
        <f t="shared" si="2"/>
        <v>22079.00211492227</v>
      </c>
    </row>
    <row r="32" spans="2:8" x14ac:dyDescent="0.25">
      <c r="C32" t="s">
        <v>182</v>
      </c>
      <c r="E32" t="s">
        <v>161</v>
      </c>
      <c r="F32" s="26">
        <v>100</v>
      </c>
      <c r="G32" s="25">
        <v>218.2698815527215</v>
      </c>
      <c r="H32" s="4">
        <f t="shared" si="2"/>
        <v>21826.988155272149</v>
      </c>
    </row>
    <row r="33" spans="1:10" x14ac:dyDescent="0.25">
      <c r="C33" t="s">
        <v>183</v>
      </c>
      <c r="E33" t="s">
        <v>161</v>
      </c>
      <c r="F33" s="26">
        <v>100</v>
      </c>
      <c r="G33" s="25">
        <v>198.51397554347989</v>
      </c>
      <c r="H33" s="4">
        <f t="shared" si="2"/>
        <v>19851.39755434799</v>
      </c>
    </row>
    <row r="34" spans="1:10" x14ac:dyDescent="0.25">
      <c r="C34" t="s">
        <v>184</v>
      </c>
      <c r="E34" t="s">
        <v>161</v>
      </c>
      <c r="F34" s="26">
        <v>100</v>
      </c>
      <c r="G34" s="25">
        <v>210.06360579630245</v>
      </c>
      <c r="H34" s="4">
        <f t="shared" si="2"/>
        <v>21006.360579630244</v>
      </c>
    </row>
    <row r="35" spans="1:10" x14ac:dyDescent="0.25">
      <c r="C35" t="s">
        <v>185</v>
      </c>
      <c r="E35" t="s">
        <v>161</v>
      </c>
      <c r="F35" s="26">
        <v>100</v>
      </c>
      <c r="G35" s="25">
        <v>215.1700409337316</v>
      </c>
      <c r="H35" s="4">
        <f t="shared" si="2"/>
        <v>21517.004093373162</v>
      </c>
    </row>
    <row r="36" spans="1:10" x14ac:dyDescent="0.25">
      <c r="C36" t="s">
        <v>186</v>
      </c>
      <c r="E36" t="s">
        <v>161</v>
      </c>
      <c r="F36" s="26">
        <v>100</v>
      </c>
      <c r="G36" s="25">
        <v>318.95996346475874</v>
      </c>
      <c r="H36" s="4">
        <f t="shared" si="2"/>
        <v>31895.996346475873</v>
      </c>
    </row>
    <row r="37" spans="1:10" ht="15.75" thickBot="1" x14ac:dyDescent="0.3"/>
    <row r="38" spans="1:10" ht="15.75" thickBot="1" x14ac:dyDescent="0.3">
      <c r="A38" s="55" t="s">
        <v>260</v>
      </c>
      <c r="B38" s="56"/>
      <c r="C38" s="56"/>
      <c r="D38" s="56"/>
      <c r="E38" s="56"/>
      <c r="F38" s="56"/>
      <c r="G38" s="56"/>
      <c r="H38" s="57"/>
      <c r="I38" s="6" t="s">
        <v>197</v>
      </c>
      <c r="J38" s="27">
        <f>+SUM(I41:I77)</f>
        <v>23057868.345510006</v>
      </c>
    </row>
    <row r="39" spans="1:10" x14ac:dyDescent="0.25">
      <c r="A39" s="1" t="s">
        <v>258</v>
      </c>
      <c r="B39" s="1" t="s">
        <v>187</v>
      </c>
      <c r="C39" s="1" t="s">
        <v>188</v>
      </c>
      <c r="D39" s="1"/>
      <c r="E39" s="1" t="s">
        <v>192</v>
      </c>
      <c r="F39" s="1" t="s">
        <v>191</v>
      </c>
      <c r="G39" s="1" t="s">
        <v>189</v>
      </c>
      <c r="H39" s="6" t="s">
        <v>190</v>
      </c>
    </row>
    <row r="40" spans="1:10" x14ac:dyDescent="0.25">
      <c r="B40" s="1" t="s">
        <v>198</v>
      </c>
    </row>
    <row r="41" spans="1:10" x14ac:dyDescent="0.25">
      <c r="A41" s="1">
        <v>5600</v>
      </c>
      <c r="C41" t="s">
        <v>199</v>
      </c>
      <c r="E41" t="s">
        <v>161</v>
      </c>
      <c r="F41" s="26">
        <v>100</v>
      </c>
      <c r="G41" s="25">
        <v>32.639995530429516</v>
      </c>
      <c r="H41" s="4">
        <f t="shared" ref="H41:H48" si="3">+F41*G41</f>
        <v>3263.9995530429514</v>
      </c>
      <c r="I41" s="4">
        <f>+SUM(H41:H70)</f>
        <v>620186.16708039679</v>
      </c>
    </row>
    <row r="42" spans="1:10" x14ac:dyDescent="0.25">
      <c r="C42" t="s">
        <v>200</v>
      </c>
      <c r="E42" t="s">
        <v>161</v>
      </c>
      <c r="F42" s="26">
        <v>100</v>
      </c>
      <c r="G42" s="25">
        <v>45.339993048151314</v>
      </c>
      <c r="H42" s="4">
        <f t="shared" si="3"/>
        <v>4533.9993048151318</v>
      </c>
    </row>
    <row r="43" spans="1:10" x14ac:dyDescent="0.25">
      <c r="C43" t="s">
        <v>201</v>
      </c>
      <c r="E43" t="s">
        <v>161</v>
      </c>
      <c r="F43" s="26">
        <v>100</v>
      </c>
      <c r="G43" s="25">
        <v>11.535399963849589</v>
      </c>
      <c r="H43" s="4">
        <f t="shared" si="3"/>
        <v>1153.5399963849588</v>
      </c>
    </row>
    <row r="44" spans="1:10" x14ac:dyDescent="0.25">
      <c r="C44" t="s">
        <v>202</v>
      </c>
      <c r="E44" t="s">
        <v>160</v>
      </c>
      <c r="F44" s="26">
        <v>100</v>
      </c>
      <c r="G44" s="25">
        <v>10.619998583515979</v>
      </c>
      <c r="H44" s="4">
        <f t="shared" si="3"/>
        <v>1061.999858351598</v>
      </c>
    </row>
    <row r="45" spans="1:10" x14ac:dyDescent="0.25">
      <c r="C45" t="s">
        <v>203</v>
      </c>
      <c r="E45" t="s">
        <v>161</v>
      </c>
      <c r="F45" s="26">
        <v>100</v>
      </c>
      <c r="G45" s="25">
        <v>33.079998766884145</v>
      </c>
      <c r="H45" s="4">
        <f t="shared" si="3"/>
        <v>3307.9998766884146</v>
      </c>
    </row>
    <row r="46" spans="1:10" x14ac:dyDescent="0.25">
      <c r="C46" t="s">
        <v>204</v>
      </c>
      <c r="E46" t="s">
        <v>161</v>
      </c>
      <c r="F46" s="26">
        <v>100</v>
      </c>
      <c r="G46" s="25">
        <v>35.620000000000005</v>
      </c>
      <c r="H46" s="4">
        <f t="shared" si="3"/>
        <v>3562.0000000000005</v>
      </c>
    </row>
    <row r="47" spans="1:10" x14ac:dyDescent="0.25">
      <c r="C47" t="s">
        <v>205</v>
      </c>
      <c r="E47" t="s">
        <v>161</v>
      </c>
      <c r="F47" s="26">
        <v>100</v>
      </c>
      <c r="G47" s="25">
        <v>5.7645000225859393</v>
      </c>
      <c r="H47" s="4">
        <f t="shared" si="3"/>
        <v>576.45000225859394</v>
      </c>
    </row>
    <row r="48" spans="1:10" x14ac:dyDescent="0.25">
      <c r="C48" t="s">
        <v>206</v>
      </c>
      <c r="E48" t="s">
        <v>161</v>
      </c>
      <c r="F48" s="26">
        <v>100</v>
      </c>
      <c r="G48" s="25">
        <v>9.1019999698708958</v>
      </c>
      <c r="H48" s="4">
        <f t="shared" si="3"/>
        <v>910.19999698708955</v>
      </c>
    </row>
    <row r="50" spans="2:8" x14ac:dyDescent="0.25">
      <c r="B50" s="1" t="s">
        <v>207</v>
      </c>
    </row>
    <row r="51" spans="2:8" x14ac:dyDescent="0.25">
      <c r="C51" t="s">
        <v>208</v>
      </c>
      <c r="E51" t="s">
        <v>160</v>
      </c>
      <c r="F51" s="26">
        <v>100</v>
      </c>
      <c r="G51" s="25">
        <v>242.42033043532069</v>
      </c>
      <c r="H51" s="4">
        <f t="shared" ref="H51:H70" si="4">+F51*G51</f>
        <v>24242.033043532068</v>
      </c>
    </row>
    <row r="52" spans="2:8" x14ac:dyDescent="0.25">
      <c r="C52" t="s">
        <v>209</v>
      </c>
      <c r="E52" t="s">
        <v>210</v>
      </c>
      <c r="F52" s="26">
        <v>100</v>
      </c>
      <c r="G52" s="25">
        <v>187.42248734358583</v>
      </c>
      <c r="H52" s="4">
        <f t="shared" si="4"/>
        <v>18742.248734358582</v>
      </c>
    </row>
    <row r="53" spans="2:8" x14ac:dyDescent="0.25">
      <c r="C53" t="s">
        <v>211</v>
      </c>
      <c r="E53" t="s">
        <v>161</v>
      </c>
      <c r="F53" s="26">
        <v>100</v>
      </c>
      <c r="G53" s="25">
        <v>97.115002012072438</v>
      </c>
      <c r="H53" s="4">
        <f t="shared" si="4"/>
        <v>9711.5002012072437</v>
      </c>
    </row>
    <row r="54" spans="2:8" x14ac:dyDescent="0.25">
      <c r="C54" t="s">
        <v>212</v>
      </c>
      <c r="E54" t="s">
        <v>161</v>
      </c>
      <c r="F54" s="26">
        <v>100</v>
      </c>
      <c r="G54" s="25">
        <v>695.7</v>
      </c>
      <c r="H54" s="4">
        <f t="shared" si="4"/>
        <v>69570</v>
      </c>
    </row>
    <row r="55" spans="2:8" x14ac:dyDescent="0.25">
      <c r="C55" t="s">
        <v>213</v>
      </c>
      <c r="E55" t="s">
        <v>161</v>
      </c>
      <c r="F55" s="26">
        <v>100</v>
      </c>
      <c r="G55" s="25">
        <v>399.95001187178474</v>
      </c>
      <c r="H55" s="4">
        <f t="shared" si="4"/>
        <v>39995.001187178474</v>
      </c>
    </row>
    <row r="56" spans="2:8" x14ac:dyDescent="0.25">
      <c r="C56" t="s">
        <v>214</v>
      </c>
      <c r="E56" t="s">
        <v>161</v>
      </c>
      <c r="F56" s="26">
        <v>100</v>
      </c>
      <c r="G56" s="25">
        <v>410.14998790810154</v>
      </c>
      <c r="H56" s="4">
        <f t="shared" si="4"/>
        <v>41014.998790810154</v>
      </c>
    </row>
    <row r="57" spans="2:8" x14ac:dyDescent="0.25">
      <c r="C57" t="s">
        <v>215</v>
      </c>
      <c r="E57" t="s">
        <v>161</v>
      </c>
      <c r="F57" s="26">
        <v>100</v>
      </c>
      <c r="G57" s="25">
        <v>650.30000000000007</v>
      </c>
      <c r="H57" s="4">
        <f t="shared" si="4"/>
        <v>65030.000000000007</v>
      </c>
    </row>
    <row r="58" spans="2:8" x14ac:dyDescent="0.25">
      <c r="C58" t="s">
        <v>216</v>
      </c>
      <c r="E58" t="s">
        <v>161</v>
      </c>
      <c r="F58" s="26">
        <v>100</v>
      </c>
      <c r="G58" s="25">
        <v>1267.7600101317123</v>
      </c>
      <c r="H58" s="4">
        <f t="shared" si="4"/>
        <v>126776.00101317123</v>
      </c>
    </row>
    <row r="59" spans="2:8" x14ac:dyDescent="0.25">
      <c r="C59" t="s">
        <v>217</v>
      </c>
      <c r="E59" t="s">
        <v>161</v>
      </c>
      <c r="F59" s="26">
        <v>100</v>
      </c>
      <c r="G59" s="25">
        <v>606.8499824868652</v>
      </c>
      <c r="H59" s="4">
        <f t="shared" si="4"/>
        <v>60684.998248686519</v>
      </c>
    </row>
    <row r="60" spans="2:8" x14ac:dyDescent="0.25">
      <c r="C60" t="s">
        <v>218</v>
      </c>
      <c r="E60" t="s">
        <v>161</v>
      </c>
      <c r="F60" s="26">
        <v>100</v>
      </c>
      <c r="G60" s="25">
        <v>681.5399796195652</v>
      </c>
      <c r="H60" s="4">
        <f t="shared" si="4"/>
        <v>68153.997961956513</v>
      </c>
    </row>
    <row r="61" spans="2:8" x14ac:dyDescent="0.25">
      <c r="C61" t="s">
        <v>219</v>
      </c>
      <c r="E61" t="s">
        <v>161</v>
      </c>
      <c r="F61" s="26">
        <v>100</v>
      </c>
      <c r="G61" s="25">
        <v>38.550000000000004</v>
      </c>
      <c r="H61" s="4">
        <f t="shared" si="4"/>
        <v>3855.0000000000005</v>
      </c>
    </row>
    <row r="62" spans="2:8" x14ac:dyDescent="0.25">
      <c r="C62" t="s">
        <v>220</v>
      </c>
      <c r="E62" t="s">
        <v>161</v>
      </c>
      <c r="F62" s="26">
        <v>100</v>
      </c>
      <c r="G62" s="25">
        <v>8.9587502138579982</v>
      </c>
      <c r="H62" s="4">
        <f t="shared" si="4"/>
        <v>895.87502138579987</v>
      </c>
    </row>
    <row r="63" spans="2:8" x14ac:dyDescent="0.25">
      <c r="C63" t="s">
        <v>221</v>
      </c>
      <c r="E63" t="s">
        <v>161</v>
      </c>
      <c r="F63" s="26">
        <v>100</v>
      </c>
      <c r="G63" s="25">
        <v>12.757500187927535</v>
      </c>
      <c r="H63" s="4">
        <f t="shared" si="4"/>
        <v>1275.7500187927535</v>
      </c>
    </row>
    <row r="64" spans="2:8" x14ac:dyDescent="0.25">
      <c r="C64" t="s">
        <v>222</v>
      </c>
      <c r="E64" t="s">
        <v>161</v>
      </c>
      <c r="F64" s="26">
        <v>100</v>
      </c>
      <c r="G64" s="25">
        <v>15.602500325478452</v>
      </c>
      <c r="H64" s="4">
        <f t="shared" si="4"/>
        <v>1560.2500325478452</v>
      </c>
    </row>
    <row r="65" spans="1:9" x14ac:dyDescent="0.25">
      <c r="C65" t="s">
        <v>223</v>
      </c>
      <c r="E65" t="s">
        <v>224</v>
      </c>
      <c r="F65" s="26">
        <v>100</v>
      </c>
      <c r="G65" s="25">
        <v>107.74157703747336</v>
      </c>
      <c r="H65" s="4">
        <f t="shared" si="4"/>
        <v>10774.157703747336</v>
      </c>
    </row>
    <row r="66" spans="1:9" x14ac:dyDescent="0.25">
      <c r="C66" t="s">
        <v>225</v>
      </c>
      <c r="E66" t="s">
        <v>161</v>
      </c>
      <c r="F66" s="26">
        <v>100</v>
      </c>
      <c r="G66" s="25">
        <v>161.25830009557612</v>
      </c>
      <c r="H66" s="4">
        <f t="shared" si="4"/>
        <v>16125.830009557612</v>
      </c>
    </row>
    <row r="67" spans="1:9" x14ac:dyDescent="0.25">
      <c r="C67" t="s">
        <v>226</v>
      </c>
      <c r="E67" t="s">
        <v>161</v>
      </c>
      <c r="F67" s="26">
        <v>100</v>
      </c>
      <c r="G67" s="25">
        <v>177.13698945321488</v>
      </c>
      <c r="H67" s="4">
        <f t="shared" si="4"/>
        <v>17713.698945321488</v>
      </c>
    </row>
    <row r="68" spans="1:9" x14ac:dyDescent="0.25">
      <c r="C68" t="s">
        <v>227</v>
      </c>
      <c r="E68" t="s">
        <v>160</v>
      </c>
      <c r="F68" s="26">
        <v>100</v>
      </c>
      <c r="G68" s="25">
        <v>65.702161672822029</v>
      </c>
      <c r="H68" s="4">
        <f t="shared" si="4"/>
        <v>6570.2161672822031</v>
      </c>
    </row>
    <row r="69" spans="1:9" x14ac:dyDescent="0.25">
      <c r="C69" t="s">
        <v>228</v>
      </c>
      <c r="E69" t="s">
        <v>161</v>
      </c>
      <c r="F69" s="26">
        <v>100</v>
      </c>
      <c r="G69" s="25">
        <v>148.05978529181149</v>
      </c>
      <c r="H69" s="4">
        <f t="shared" si="4"/>
        <v>14805.978529181149</v>
      </c>
    </row>
    <row r="70" spans="1:9" x14ac:dyDescent="0.25">
      <c r="C70" t="s">
        <v>229</v>
      </c>
      <c r="E70" t="s">
        <v>160</v>
      </c>
      <c r="F70" s="26">
        <v>100</v>
      </c>
      <c r="G70" s="25">
        <v>43.184428831508733</v>
      </c>
      <c r="H70" s="4">
        <f t="shared" si="4"/>
        <v>4318.4428831508731</v>
      </c>
    </row>
    <row r="72" spans="1:9" x14ac:dyDescent="0.25">
      <c r="A72" s="1">
        <v>1007</v>
      </c>
      <c r="B72" s="1" t="s">
        <v>230</v>
      </c>
      <c r="I72" s="4">
        <f>+SUM(H73:H75)</f>
        <v>15019.971122245444</v>
      </c>
    </row>
    <row r="73" spans="1:9" x14ac:dyDescent="0.25">
      <c r="C73" t="s">
        <v>231</v>
      </c>
      <c r="E73" t="s">
        <v>161</v>
      </c>
      <c r="F73" s="26">
        <v>100</v>
      </c>
      <c r="G73" s="25">
        <v>125.55479989407785</v>
      </c>
      <c r="H73" s="4">
        <f>+F73*G73</f>
        <v>12555.479989407784</v>
      </c>
    </row>
    <row r="74" spans="1:9" x14ac:dyDescent="0.25">
      <c r="C74" t="s">
        <v>232</v>
      </c>
      <c r="E74" t="s">
        <v>161</v>
      </c>
      <c r="F74" s="26">
        <v>100</v>
      </c>
      <c r="G74" s="25">
        <v>23.640801331056117</v>
      </c>
      <c r="H74" s="4">
        <f>+F74*G74</f>
        <v>2364.0801331056118</v>
      </c>
    </row>
    <row r="75" spans="1:9" x14ac:dyDescent="0.25">
      <c r="C75" t="s">
        <v>233</v>
      </c>
      <c r="E75" t="s">
        <v>161</v>
      </c>
      <c r="F75" s="26">
        <v>100</v>
      </c>
      <c r="G75" s="25">
        <v>1.0041099973204826</v>
      </c>
      <c r="H75" s="4">
        <f>+F75*G75</f>
        <v>100.41099973204825</v>
      </c>
    </row>
    <row r="76" spans="1:9" x14ac:dyDescent="0.25">
      <c r="G76" s="25"/>
      <c r="H76" s="4"/>
    </row>
    <row r="77" spans="1:9" x14ac:dyDescent="0.25">
      <c r="A77" s="1">
        <v>7004</v>
      </c>
      <c r="B77" s="1" t="s">
        <v>259</v>
      </c>
      <c r="I77" s="4">
        <f>+SUM(H78:H133)</f>
        <v>22422662.207307365</v>
      </c>
    </row>
    <row r="78" spans="1:9" x14ac:dyDescent="0.25">
      <c r="C78" t="s">
        <v>234</v>
      </c>
      <c r="E78" t="s">
        <v>161</v>
      </c>
      <c r="F78" s="26">
        <v>100</v>
      </c>
      <c r="G78" s="4">
        <v>1291.6492942453854</v>
      </c>
      <c r="H78" s="4">
        <f t="shared" ref="H78:H109" si="5">+F78*G78</f>
        <v>129164.92942453854</v>
      </c>
    </row>
    <row r="79" spans="1:9" x14ac:dyDescent="0.25">
      <c r="C79" t="s">
        <v>234</v>
      </c>
      <c r="E79" t="s">
        <v>161</v>
      </c>
      <c r="F79" s="26">
        <v>100</v>
      </c>
      <c r="G79" s="4">
        <v>942.48271460845945</v>
      </c>
      <c r="H79" s="4">
        <f t="shared" si="5"/>
        <v>94248.27146084595</v>
      </c>
    </row>
    <row r="80" spans="1:9" x14ac:dyDescent="0.25">
      <c r="C80" t="s">
        <v>235</v>
      </c>
      <c r="E80" t="s">
        <v>161</v>
      </c>
      <c r="F80" s="26">
        <v>100</v>
      </c>
      <c r="G80" s="4">
        <v>112.08640043313009</v>
      </c>
      <c r="H80" s="4">
        <f t="shared" si="5"/>
        <v>11208.640043313009</v>
      </c>
    </row>
    <row r="81" spans="3:8" x14ac:dyDescent="0.25">
      <c r="C81" t="s">
        <v>236</v>
      </c>
      <c r="E81" t="s">
        <v>161</v>
      </c>
      <c r="F81" s="26">
        <v>100</v>
      </c>
      <c r="G81" s="4">
        <v>175.64869937484497</v>
      </c>
      <c r="H81" s="4">
        <f t="shared" si="5"/>
        <v>17564.869937484498</v>
      </c>
    </row>
    <row r="82" spans="3:8" x14ac:dyDescent="0.25">
      <c r="C82" t="s">
        <v>237</v>
      </c>
      <c r="E82" t="s">
        <v>161</v>
      </c>
      <c r="F82" s="26">
        <v>100</v>
      </c>
      <c r="G82" s="4">
        <v>152038.73972602739</v>
      </c>
      <c r="H82" s="4">
        <f t="shared" si="5"/>
        <v>15203873.972602738</v>
      </c>
    </row>
    <row r="83" spans="3:8" x14ac:dyDescent="0.25">
      <c r="C83" t="s">
        <v>238</v>
      </c>
      <c r="E83" t="s">
        <v>161</v>
      </c>
      <c r="F83" s="26">
        <v>100</v>
      </c>
      <c r="G83" s="4">
        <v>1025.1654733836604</v>
      </c>
      <c r="H83" s="4">
        <f t="shared" si="5"/>
        <v>102516.54733836604</v>
      </c>
    </row>
    <row r="84" spans="3:8" x14ac:dyDescent="0.25">
      <c r="C84" t="s">
        <v>239</v>
      </c>
      <c r="E84" t="s">
        <v>161</v>
      </c>
      <c r="F84" s="26">
        <v>100</v>
      </c>
      <c r="G84" s="4">
        <v>1051.4900115431988</v>
      </c>
      <c r="H84" s="4">
        <f t="shared" si="5"/>
        <v>105149.00115431988</v>
      </c>
    </row>
    <row r="85" spans="3:8" x14ac:dyDescent="0.25">
      <c r="C85" t="s">
        <v>240</v>
      </c>
      <c r="E85" t="s">
        <v>161</v>
      </c>
      <c r="F85" s="26">
        <v>100</v>
      </c>
      <c r="G85" s="4">
        <v>1683.9500171174257</v>
      </c>
      <c r="H85" s="4">
        <f t="shared" si="5"/>
        <v>168395.00171174257</v>
      </c>
    </row>
    <row r="86" spans="3:8" x14ac:dyDescent="0.25">
      <c r="C86" t="s">
        <v>241</v>
      </c>
      <c r="E86" t="s">
        <v>161</v>
      </c>
      <c r="F86" s="26">
        <v>100</v>
      </c>
      <c r="G86" s="4">
        <v>985.01480633582878</v>
      </c>
      <c r="H86" s="4">
        <f t="shared" si="5"/>
        <v>98501.480633582876</v>
      </c>
    </row>
    <row r="87" spans="3:8" x14ac:dyDescent="0.25">
      <c r="C87" t="s">
        <v>242</v>
      </c>
      <c r="E87" t="s">
        <v>161</v>
      </c>
      <c r="F87" s="26">
        <v>100</v>
      </c>
      <c r="G87" s="4">
        <v>291.33529968213304</v>
      </c>
      <c r="H87" s="4">
        <f t="shared" si="5"/>
        <v>29133.529968213305</v>
      </c>
    </row>
    <row r="88" spans="3:8" x14ac:dyDescent="0.25">
      <c r="C88" t="s">
        <v>243</v>
      </c>
      <c r="E88" t="s">
        <v>161</v>
      </c>
      <c r="F88" s="26">
        <v>100</v>
      </c>
      <c r="G88" s="4">
        <v>1595.7297297297296</v>
      </c>
      <c r="H88" s="4">
        <f t="shared" si="5"/>
        <v>159572.97297297296</v>
      </c>
    </row>
    <row r="89" spans="3:8" x14ac:dyDescent="0.25">
      <c r="C89" t="s">
        <v>243</v>
      </c>
      <c r="E89" t="s">
        <v>161</v>
      </c>
      <c r="F89" s="26">
        <v>100</v>
      </c>
      <c r="G89" s="4">
        <v>1576.0637302614793</v>
      </c>
      <c r="H89" s="4">
        <f t="shared" si="5"/>
        <v>157606.37302614792</v>
      </c>
    </row>
    <row r="90" spans="3:8" x14ac:dyDescent="0.25">
      <c r="C90" t="s">
        <v>243</v>
      </c>
      <c r="E90" t="s">
        <v>161</v>
      </c>
      <c r="F90" s="26">
        <v>100</v>
      </c>
      <c r="G90" s="4">
        <v>1595.7142857142858</v>
      </c>
      <c r="H90" s="4">
        <f t="shared" si="5"/>
        <v>159571.42857142858</v>
      </c>
    </row>
    <row r="91" spans="3:8" x14ac:dyDescent="0.25">
      <c r="C91" t="s">
        <v>243</v>
      </c>
      <c r="E91" t="s">
        <v>161</v>
      </c>
      <c r="F91" s="26">
        <v>100</v>
      </c>
      <c r="G91" s="4">
        <v>3656.5625</v>
      </c>
      <c r="H91" s="4">
        <f t="shared" si="5"/>
        <v>365656.25</v>
      </c>
    </row>
    <row r="92" spans="3:8" x14ac:dyDescent="0.25">
      <c r="C92" t="s">
        <v>243</v>
      </c>
      <c r="E92" t="s">
        <v>161</v>
      </c>
      <c r="F92" s="26">
        <v>100</v>
      </c>
      <c r="G92" s="4">
        <v>3656.9230769230771</v>
      </c>
      <c r="H92" s="4">
        <f t="shared" si="5"/>
        <v>365692.30769230769</v>
      </c>
    </row>
    <row r="93" spans="3:8" x14ac:dyDescent="0.25">
      <c r="C93" t="s">
        <v>243</v>
      </c>
      <c r="E93" t="s">
        <v>161</v>
      </c>
      <c r="F93" s="26">
        <v>100</v>
      </c>
      <c r="G93" s="4">
        <v>3654.9999999999995</v>
      </c>
      <c r="H93" s="4">
        <f t="shared" si="5"/>
        <v>365499.99999999994</v>
      </c>
    </row>
    <row r="94" spans="3:8" x14ac:dyDescent="0.25">
      <c r="C94" t="s">
        <v>243</v>
      </c>
      <c r="E94" t="s">
        <v>161</v>
      </c>
      <c r="F94" s="26">
        <v>100</v>
      </c>
      <c r="G94" s="4">
        <v>3656.6666666666665</v>
      </c>
      <c r="H94" s="4">
        <f t="shared" si="5"/>
        <v>365666.66666666663</v>
      </c>
    </row>
    <row r="95" spans="3:8" x14ac:dyDescent="0.25">
      <c r="C95" t="s">
        <v>243</v>
      </c>
      <c r="E95" t="s">
        <v>161</v>
      </c>
      <c r="F95" s="26">
        <v>100</v>
      </c>
      <c r="G95" s="4">
        <v>3656.666666666667</v>
      </c>
      <c r="H95" s="4">
        <f t="shared" si="5"/>
        <v>365666.66666666669</v>
      </c>
    </row>
    <row r="96" spans="3:8" x14ac:dyDescent="0.25">
      <c r="C96" t="s">
        <v>243</v>
      </c>
      <c r="E96" t="s">
        <v>161</v>
      </c>
      <c r="F96" s="26">
        <v>100</v>
      </c>
      <c r="G96" s="4">
        <v>3663.3333333333335</v>
      </c>
      <c r="H96" s="4">
        <f t="shared" si="5"/>
        <v>366333.33333333337</v>
      </c>
    </row>
    <row r="97" spans="3:8" x14ac:dyDescent="0.25">
      <c r="C97" t="s">
        <v>243</v>
      </c>
      <c r="E97" t="s">
        <v>161</v>
      </c>
      <c r="F97" s="26">
        <v>100</v>
      </c>
      <c r="G97" s="4">
        <v>2578.3286751403257</v>
      </c>
      <c r="H97" s="4">
        <f t="shared" si="5"/>
        <v>257832.86751403258</v>
      </c>
    </row>
    <row r="98" spans="3:8" x14ac:dyDescent="0.25">
      <c r="C98" t="s">
        <v>243</v>
      </c>
      <c r="E98" t="s">
        <v>161</v>
      </c>
      <c r="F98" s="26">
        <v>100</v>
      </c>
      <c r="G98" s="4">
        <v>620.69306930693062</v>
      </c>
      <c r="H98" s="4">
        <f t="shared" si="5"/>
        <v>62069.306930693063</v>
      </c>
    </row>
    <row r="99" spans="3:8" x14ac:dyDescent="0.25">
      <c r="C99" t="s">
        <v>243</v>
      </c>
      <c r="E99" t="s">
        <v>161</v>
      </c>
      <c r="F99" s="26">
        <v>100</v>
      </c>
      <c r="G99" s="4">
        <v>620.66666666666663</v>
      </c>
      <c r="H99" s="4">
        <f t="shared" si="5"/>
        <v>62066.666666666664</v>
      </c>
    </row>
    <row r="100" spans="3:8" x14ac:dyDescent="0.25">
      <c r="C100" t="s">
        <v>243</v>
      </c>
      <c r="E100" t="s">
        <v>161</v>
      </c>
      <c r="F100" s="26">
        <v>100</v>
      </c>
      <c r="G100" s="4">
        <v>807.14285714285711</v>
      </c>
      <c r="H100" s="4">
        <f t="shared" si="5"/>
        <v>80714.28571428571</v>
      </c>
    </row>
    <row r="101" spans="3:8" x14ac:dyDescent="0.25">
      <c r="C101" t="s">
        <v>243</v>
      </c>
      <c r="E101" t="s">
        <v>161</v>
      </c>
      <c r="F101" s="26">
        <v>100</v>
      </c>
      <c r="G101" s="4">
        <v>714.28571428571422</v>
      </c>
      <c r="H101" s="4">
        <f t="shared" si="5"/>
        <v>71428.57142857142</v>
      </c>
    </row>
    <row r="102" spans="3:8" x14ac:dyDescent="0.25">
      <c r="C102" t="s">
        <v>243</v>
      </c>
      <c r="E102" t="s">
        <v>161</v>
      </c>
      <c r="F102" s="26">
        <v>100</v>
      </c>
      <c r="G102" s="4">
        <v>714.23076923076928</v>
      </c>
      <c r="H102" s="4">
        <f t="shared" si="5"/>
        <v>71423.076923076922</v>
      </c>
    </row>
    <row r="103" spans="3:8" x14ac:dyDescent="0.25">
      <c r="C103" t="s">
        <v>243</v>
      </c>
      <c r="E103" t="s">
        <v>161</v>
      </c>
      <c r="F103" s="26">
        <v>100</v>
      </c>
      <c r="G103" s="4">
        <v>864.61538461538464</v>
      </c>
      <c r="H103" s="4">
        <f t="shared" si="5"/>
        <v>86461.538461538468</v>
      </c>
    </row>
    <row r="104" spans="3:8" x14ac:dyDescent="0.25">
      <c r="C104" t="s">
        <v>243</v>
      </c>
      <c r="E104" t="s">
        <v>161</v>
      </c>
      <c r="F104" s="26">
        <v>100</v>
      </c>
      <c r="G104" s="4">
        <v>806.92307692307702</v>
      </c>
      <c r="H104" s="4">
        <f t="shared" si="5"/>
        <v>80692.307692307702</v>
      </c>
    </row>
    <row r="105" spans="3:8" x14ac:dyDescent="0.25">
      <c r="C105" t="s">
        <v>243</v>
      </c>
      <c r="E105" t="s">
        <v>161</v>
      </c>
      <c r="F105" s="26">
        <v>100</v>
      </c>
      <c r="G105" s="4">
        <v>860</v>
      </c>
      <c r="H105" s="4">
        <f t="shared" si="5"/>
        <v>86000</v>
      </c>
    </row>
    <row r="106" spans="3:8" x14ac:dyDescent="0.25">
      <c r="C106" t="s">
        <v>243</v>
      </c>
      <c r="E106" t="s">
        <v>161</v>
      </c>
      <c r="F106" s="26">
        <v>100</v>
      </c>
      <c r="G106" s="4">
        <v>864.61538461538464</v>
      </c>
      <c r="H106" s="4">
        <f t="shared" si="5"/>
        <v>86461.538461538468</v>
      </c>
    </row>
    <row r="107" spans="3:8" x14ac:dyDescent="0.25">
      <c r="C107" t="s">
        <v>243</v>
      </c>
      <c r="E107" t="s">
        <v>161</v>
      </c>
      <c r="F107" s="26">
        <v>100</v>
      </c>
      <c r="G107" s="4">
        <v>860</v>
      </c>
      <c r="H107" s="4">
        <f t="shared" si="5"/>
        <v>86000</v>
      </c>
    </row>
    <row r="108" spans="3:8" x14ac:dyDescent="0.25">
      <c r="C108" t="s">
        <v>244</v>
      </c>
      <c r="E108" t="s">
        <v>161</v>
      </c>
      <c r="F108" s="26">
        <v>100</v>
      </c>
      <c r="G108" s="4">
        <v>870</v>
      </c>
      <c r="H108" s="4">
        <f t="shared" si="5"/>
        <v>87000</v>
      </c>
    </row>
    <row r="109" spans="3:8" x14ac:dyDescent="0.25">
      <c r="C109" t="s">
        <v>243</v>
      </c>
      <c r="E109" t="s">
        <v>161</v>
      </c>
      <c r="F109" s="26">
        <v>100</v>
      </c>
      <c r="G109" s="4">
        <v>860</v>
      </c>
      <c r="H109" s="4">
        <f t="shared" si="5"/>
        <v>86000</v>
      </c>
    </row>
    <row r="110" spans="3:8" x14ac:dyDescent="0.25">
      <c r="C110" t="s">
        <v>243</v>
      </c>
      <c r="E110" t="s">
        <v>161</v>
      </c>
      <c r="F110" s="26">
        <v>100</v>
      </c>
      <c r="G110" s="4">
        <v>1076.25</v>
      </c>
      <c r="H110" s="4">
        <f t="shared" ref="H110:H141" si="6">+F110*G110</f>
        <v>107625</v>
      </c>
    </row>
    <row r="111" spans="3:8" x14ac:dyDescent="0.25">
      <c r="C111" t="s">
        <v>243</v>
      </c>
      <c r="E111" t="s">
        <v>161</v>
      </c>
      <c r="F111" s="26">
        <v>100</v>
      </c>
      <c r="G111" s="4">
        <v>1075.8029978586724</v>
      </c>
      <c r="H111" s="4">
        <f t="shared" si="6"/>
        <v>107580.29978586723</v>
      </c>
    </row>
    <row r="112" spans="3:8" x14ac:dyDescent="0.25">
      <c r="C112" t="s">
        <v>243</v>
      </c>
      <c r="E112" t="s">
        <v>161</v>
      </c>
      <c r="F112" s="26">
        <v>100</v>
      </c>
      <c r="G112" s="4">
        <v>1080</v>
      </c>
      <c r="H112" s="4">
        <f t="shared" si="6"/>
        <v>108000</v>
      </c>
    </row>
    <row r="113" spans="3:8" x14ac:dyDescent="0.25">
      <c r="C113" t="s">
        <v>243</v>
      </c>
      <c r="E113" t="s">
        <v>161</v>
      </c>
      <c r="F113" s="26">
        <v>100</v>
      </c>
      <c r="G113" s="4">
        <v>1076</v>
      </c>
      <c r="H113" s="4">
        <f t="shared" si="6"/>
        <v>107600</v>
      </c>
    </row>
    <row r="114" spans="3:8" x14ac:dyDescent="0.25">
      <c r="C114" t="s">
        <v>243</v>
      </c>
      <c r="E114" t="s">
        <v>161</v>
      </c>
      <c r="F114" s="26">
        <v>100</v>
      </c>
      <c r="G114" s="4">
        <v>1076</v>
      </c>
      <c r="H114" s="4">
        <f t="shared" si="6"/>
        <v>107600</v>
      </c>
    </row>
    <row r="115" spans="3:8" x14ac:dyDescent="0.25">
      <c r="C115" t="s">
        <v>243</v>
      </c>
      <c r="E115" t="s">
        <v>161</v>
      </c>
      <c r="F115" s="26">
        <v>100</v>
      </c>
      <c r="G115" s="4">
        <v>1075.6756756756756</v>
      </c>
      <c r="H115" s="4">
        <f t="shared" si="6"/>
        <v>107567.56756756756</v>
      </c>
    </row>
    <row r="116" spans="3:8" x14ac:dyDescent="0.25">
      <c r="C116" t="s">
        <v>243</v>
      </c>
      <c r="E116" t="s">
        <v>161</v>
      </c>
      <c r="F116" s="26">
        <v>100</v>
      </c>
      <c r="G116" s="4">
        <v>1080</v>
      </c>
      <c r="H116" s="4">
        <f t="shared" si="6"/>
        <v>108000</v>
      </c>
    </row>
    <row r="117" spans="3:8" x14ac:dyDescent="0.25">
      <c r="C117" t="s">
        <v>243</v>
      </c>
      <c r="E117" t="s">
        <v>161</v>
      </c>
      <c r="F117" s="26">
        <v>100</v>
      </c>
      <c r="G117" s="4">
        <v>999.99999999999989</v>
      </c>
      <c r="H117" s="4">
        <f t="shared" si="6"/>
        <v>99999.999999999985</v>
      </c>
    </row>
    <row r="118" spans="3:8" x14ac:dyDescent="0.25">
      <c r="C118" t="s">
        <v>243</v>
      </c>
      <c r="E118" t="s">
        <v>161</v>
      </c>
      <c r="F118" s="26">
        <v>100</v>
      </c>
      <c r="G118" s="4">
        <v>1000</v>
      </c>
      <c r="H118" s="4">
        <f t="shared" si="6"/>
        <v>100000</v>
      </c>
    </row>
    <row r="119" spans="3:8" x14ac:dyDescent="0.25">
      <c r="C119" t="s">
        <v>245</v>
      </c>
      <c r="E119" t="s">
        <v>161</v>
      </c>
      <c r="F119" s="26">
        <v>100</v>
      </c>
      <c r="G119" s="4">
        <v>1277.1561906658228</v>
      </c>
      <c r="H119" s="4">
        <f t="shared" si="6"/>
        <v>127715.61906658228</v>
      </c>
    </row>
    <row r="120" spans="3:8" x14ac:dyDescent="0.25">
      <c r="C120" t="s">
        <v>246</v>
      </c>
      <c r="E120" t="s">
        <v>161</v>
      </c>
      <c r="F120" s="26">
        <v>100</v>
      </c>
      <c r="G120" s="4">
        <v>1048.00648</v>
      </c>
      <c r="H120" s="4">
        <f t="shared" si="6"/>
        <v>104800.648</v>
      </c>
    </row>
    <row r="121" spans="3:8" x14ac:dyDescent="0.25">
      <c r="C121" t="s">
        <v>247</v>
      </c>
      <c r="E121" t="s">
        <v>161</v>
      </c>
      <c r="F121" s="26">
        <v>100</v>
      </c>
      <c r="G121" s="4">
        <v>292.42010142951546</v>
      </c>
      <c r="H121" s="4">
        <f t="shared" si="6"/>
        <v>29242.010142951545</v>
      </c>
    </row>
    <row r="122" spans="3:8" x14ac:dyDescent="0.25">
      <c r="C122" t="s">
        <v>248</v>
      </c>
      <c r="E122" t="s">
        <v>161</v>
      </c>
      <c r="F122" s="26">
        <v>100</v>
      </c>
      <c r="G122" s="4">
        <v>1268.3366789283548</v>
      </c>
      <c r="H122" s="4">
        <f t="shared" si="6"/>
        <v>126833.66789283548</v>
      </c>
    </row>
    <row r="123" spans="3:8" x14ac:dyDescent="0.25">
      <c r="C123" t="s">
        <v>249</v>
      </c>
      <c r="E123" t="s">
        <v>161</v>
      </c>
      <c r="F123" s="26">
        <v>100</v>
      </c>
      <c r="G123" s="4">
        <v>1.1587539999999998</v>
      </c>
      <c r="H123" s="4">
        <f t="shared" si="6"/>
        <v>115.87539999999998</v>
      </c>
    </row>
    <row r="124" spans="3:8" x14ac:dyDescent="0.25">
      <c r="C124" t="s">
        <v>250</v>
      </c>
      <c r="E124" t="s">
        <v>161</v>
      </c>
      <c r="F124" s="26">
        <v>100</v>
      </c>
      <c r="G124" s="4">
        <v>201.36174211866847</v>
      </c>
      <c r="H124" s="4">
        <f t="shared" si="6"/>
        <v>20136.174211866848</v>
      </c>
    </row>
    <row r="125" spans="3:8" x14ac:dyDescent="0.25">
      <c r="C125" t="s">
        <v>250</v>
      </c>
      <c r="E125" t="s">
        <v>161</v>
      </c>
      <c r="F125" s="26">
        <v>100</v>
      </c>
      <c r="G125" s="4">
        <v>151.18938318504448</v>
      </c>
      <c r="H125" s="4">
        <f t="shared" si="6"/>
        <v>15118.938318504448</v>
      </c>
    </row>
    <row r="126" spans="3:8" x14ac:dyDescent="0.25">
      <c r="C126" t="s">
        <v>251</v>
      </c>
      <c r="E126" t="s">
        <v>161</v>
      </c>
      <c r="F126" s="26">
        <v>100</v>
      </c>
      <c r="G126" s="4">
        <v>1904.1500036651009</v>
      </c>
      <c r="H126" s="4">
        <f t="shared" si="6"/>
        <v>190415.0003665101</v>
      </c>
    </row>
    <row r="127" spans="3:8" x14ac:dyDescent="0.25">
      <c r="C127" t="s">
        <v>252</v>
      </c>
      <c r="E127" t="s">
        <v>161</v>
      </c>
      <c r="F127" s="26">
        <v>100</v>
      </c>
      <c r="G127" s="4">
        <v>1076.9427274204795</v>
      </c>
      <c r="H127" s="4">
        <f t="shared" si="6"/>
        <v>107694.27274204795</v>
      </c>
    </row>
    <row r="128" spans="3:8" x14ac:dyDescent="0.25">
      <c r="C128" t="s">
        <v>252</v>
      </c>
      <c r="E128" t="s">
        <v>161</v>
      </c>
      <c r="F128" s="26">
        <v>100</v>
      </c>
      <c r="G128" s="4">
        <v>1076.9262176329585</v>
      </c>
      <c r="H128" s="4">
        <f t="shared" si="6"/>
        <v>107692.62176329584</v>
      </c>
    </row>
    <row r="129" spans="1:10" x14ac:dyDescent="0.25">
      <c r="C129" t="s">
        <v>253</v>
      </c>
      <c r="E129" t="s">
        <v>161</v>
      </c>
      <c r="F129" s="26">
        <v>100</v>
      </c>
      <c r="G129" s="4">
        <v>1761.3599958941195</v>
      </c>
      <c r="H129" s="4">
        <f t="shared" si="6"/>
        <v>176135.99958941195</v>
      </c>
    </row>
    <row r="130" spans="1:10" x14ac:dyDescent="0.25">
      <c r="C130" t="s">
        <v>254</v>
      </c>
      <c r="E130" t="s">
        <v>161</v>
      </c>
      <c r="F130" s="26">
        <v>100</v>
      </c>
      <c r="G130" s="4">
        <v>1894.8630888161706</v>
      </c>
      <c r="H130" s="4">
        <f t="shared" si="6"/>
        <v>189486.30888161706</v>
      </c>
    </row>
    <row r="131" spans="1:10" x14ac:dyDescent="0.25">
      <c r="C131" t="s">
        <v>255</v>
      </c>
      <c r="E131" t="s">
        <v>161</v>
      </c>
      <c r="F131" s="26">
        <v>100</v>
      </c>
      <c r="G131" s="4">
        <v>1288.2235020678811</v>
      </c>
      <c r="H131" s="4">
        <f t="shared" si="6"/>
        <v>128822.35020678811</v>
      </c>
    </row>
    <row r="132" spans="1:10" x14ac:dyDescent="0.25">
      <c r="C132" t="s">
        <v>256</v>
      </c>
      <c r="E132" t="s">
        <v>161</v>
      </c>
      <c r="F132" s="26">
        <v>100</v>
      </c>
      <c r="G132" s="4">
        <v>1231.7345076084328</v>
      </c>
      <c r="H132" s="4">
        <f t="shared" si="6"/>
        <v>123173.45076084328</v>
      </c>
    </row>
    <row r="133" spans="1:10" x14ac:dyDescent="0.25">
      <c r="C133" t="s">
        <v>257</v>
      </c>
      <c r="E133" t="s">
        <v>161</v>
      </c>
      <c r="F133" s="26">
        <v>100</v>
      </c>
      <c r="G133" s="4">
        <v>1861.3399961328371</v>
      </c>
      <c r="H133" s="4">
        <f t="shared" si="6"/>
        <v>186133.9996132837</v>
      </c>
    </row>
    <row r="134" spans="1:10" ht="15.75" thickBot="1" x14ac:dyDescent="0.3"/>
    <row r="135" spans="1:10" ht="15.75" thickBot="1" x14ac:dyDescent="0.3">
      <c r="A135" s="55" t="s">
        <v>307</v>
      </c>
      <c r="B135" s="56"/>
      <c r="C135" s="56"/>
      <c r="D135" s="56"/>
      <c r="E135" s="56"/>
      <c r="F135" s="56"/>
      <c r="G135" s="56"/>
      <c r="H135" s="57"/>
      <c r="I135" s="6" t="s">
        <v>197</v>
      </c>
      <c r="J135" s="27">
        <f>+SUM(H138:H185)</f>
        <v>17623702.860000003</v>
      </c>
    </row>
    <row r="136" spans="1:10" x14ac:dyDescent="0.25">
      <c r="B136" t="s">
        <v>308</v>
      </c>
      <c r="E136" t="s">
        <v>309</v>
      </c>
      <c r="F136" s="4"/>
      <c r="H136" s="4">
        <v>86402.01</v>
      </c>
    </row>
    <row r="138" spans="1:10" x14ac:dyDescent="0.25">
      <c r="B138" s="1" t="s">
        <v>187</v>
      </c>
      <c r="C138" s="1" t="s">
        <v>188</v>
      </c>
      <c r="D138" s="1"/>
      <c r="E138" s="1" t="s">
        <v>192</v>
      </c>
      <c r="F138" s="1" t="s">
        <v>191</v>
      </c>
      <c r="G138" s="1" t="s">
        <v>189</v>
      </c>
      <c r="H138" s="6" t="s">
        <v>294</v>
      </c>
    </row>
    <row r="139" spans="1:10" x14ac:dyDescent="0.25">
      <c r="B139" t="s">
        <v>311</v>
      </c>
      <c r="C139" t="s">
        <v>310</v>
      </c>
      <c r="E139" t="s">
        <v>161</v>
      </c>
      <c r="F139" s="26">
        <v>100</v>
      </c>
      <c r="G139">
        <f>+H139/F139</f>
        <v>84457.84550000001</v>
      </c>
      <c r="H139" s="4">
        <v>8445784.5500000007</v>
      </c>
    </row>
    <row r="140" spans="1:10" x14ac:dyDescent="0.25">
      <c r="B140" t="s">
        <v>311</v>
      </c>
      <c r="C140" t="s">
        <v>312</v>
      </c>
      <c r="E140" t="s">
        <v>161</v>
      </c>
      <c r="F140" s="26">
        <v>100</v>
      </c>
      <c r="G140">
        <f>+H140/F140</f>
        <v>71689.921900000001</v>
      </c>
      <c r="H140" s="4">
        <v>7168992.1900000004</v>
      </c>
    </row>
    <row r="142" spans="1:10" x14ac:dyDescent="0.25">
      <c r="B142" t="s">
        <v>397</v>
      </c>
      <c r="H142" s="4">
        <v>2008926.12</v>
      </c>
    </row>
    <row r="146" spans="1:8" x14ac:dyDescent="0.25">
      <c r="A146" t="s">
        <v>325</v>
      </c>
    </row>
    <row r="147" spans="1:8" x14ac:dyDescent="0.25">
      <c r="A147" t="s">
        <v>324</v>
      </c>
    </row>
    <row r="149" spans="1:8" x14ac:dyDescent="0.25">
      <c r="A149" s="58" t="s">
        <v>398</v>
      </c>
      <c r="B149" s="58"/>
      <c r="C149" s="58"/>
      <c r="D149" s="58"/>
      <c r="E149" s="58"/>
      <c r="F149" s="58"/>
      <c r="G149" s="58"/>
      <c r="H149" s="58"/>
    </row>
    <row r="150" spans="1:8" x14ac:dyDescent="0.25">
      <c r="A150" s="34" t="s">
        <v>401</v>
      </c>
      <c r="B150" s="34" t="s">
        <v>400</v>
      </c>
      <c r="C150" s="34" t="s">
        <v>402</v>
      </c>
      <c r="D150" s="34"/>
      <c r="E150" s="35" t="s">
        <v>399</v>
      </c>
      <c r="F150" s="34" t="s">
        <v>403</v>
      </c>
      <c r="G150" s="34" t="s">
        <v>404</v>
      </c>
      <c r="H150" s="34" t="s">
        <v>405</v>
      </c>
    </row>
    <row r="151" spans="1:8" x14ac:dyDescent="0.25">
      <c r="A151" t="s">
        <v>407</v>
      </c>
      <c r="B151" t="s">
        <v>406</v>
      </c>
      <c r="C151" t="s">
        <v>408</v>
      </c>
      <c r="E151" t="s">
        <v>409</v>
      </c>
      <c r="F151" s="4"/>
      <c r="G151" s="4">
        <v>1</v>
      </c>
      <c r="H151" s="31" t="s">
        <v>410</v>
      </c>
    </row>
    <row r="152" spans="1:8" x14ac:dyDescent="0.25">
      <c r="A152" t="s">
        <v>407</v>
      </c>
      <c r="B152" t="s">
        <v>406</v>
      </c>
      <c r="C152" t="s">
        <v>408</v>
      </c>
      <c r="E152" t="s">
        <v>409</v>
      </c>
      <c r="F152" s="4">
        <v>2</v>
      </c>
      <c r="G152" s="4">
        <v>0</v>
      </c>
      <c r="H152" t="s">
        <v>411</v>
      </c>
    </row>
    <row r="153" spans="1:8" x14ac:dyDescent="0.25">
      <c r="A153" t="s">
        <v>407</v>
      </c>
      <c r="B153" t="s">
        <v>406</v>
      </c>
      <c r="C153" t="s">
        <v>408</v>
      </c>
      <c r="E153" t="s">
        <v>409</v>
      </c>
      <c r="F153" s="4">
        <v>1.5</v>
      </c>
      <c r="G153" s="4">
        <v>0</v>
      </c>
      <c r="H153" t="s">
        <v>412</v>
      </c>
    </row>
    <row r="154" spans="1:8" x14ac:dyDescent="0.25">
      <c r="A154" t="s">
        <v>414</v>
      </c>
      <c r="B154" t="s">
        <v>413</v>
      </c>
      <c r="C154" t="s">
        <v>408</v>
      </c>
      <c r="E154" t="s">
        <v>409</v>
      </c>
      <c r="F154" s="4">
        <v>1</v>
      </c>
      <c r="G154" s="4">
        <v>0</v>
      </c>
      <c r="H154" t="s">
        <v>410</v>
      </c>
    </row>
    <row r="155" spans="1:8" x14ac:dyDescent="0.25">
      <c r="A155" t="s">
        <v>134</v>
      </c>
      <c r="B155" t="s">
        <v>135</v>
      </c>
      <c r="C155" t="s">
        <v>415</v>
      </c>
      <c r="E155" t="s">
        <v>416</v>
      </c>
      <c r="F155" s="4">
        <v>0</v>
      </c>
      <c r="G155" s="4">
        <v>2</v>
      </c>
      <c r="H155" t="s">
        <v>417</v>
      </c>
    </row>
    <row r="156" spans="1:8" x14ac:dyDescent="0.25">
      <c r="A156" t="s">
        <v>27</v>
      </c>
      <c r="B156" t="s">
        <v>24</v>
      </c>
      <c r="C156" t="s">
        <v>415</v>
      </c>
      <c r="E156" t="s">
        <v>416</v>
      </c>
      <c r="F156" s="4">
        <v>0</v>
      </c>
      <c r="G156" s="4">
        <v>1.5</v>
      </c>
      <c r="H156" t="s">
        <v>417</v>
      </c>
    </row>
    <row r="158" spans="1:8" x14ac:dyDescent="0.25">
      <c r="F158" s="4"/>
      <c r="G158" s="4"/>
    </row>
  </sheetData>
  <mergeCells count="4">
    <mergeCell ref="B3:H3"/>
    <mergeCell ref="A38:H38"/>
    <mergeCell ref="A135:H135"/>
    <mergeCell ref="A149:H14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0EDEF-4392-4854-B63A-163008C930BF}">
  <dimension ref="A1:L65"/>
  <sheetViews>
    <sheetView zoomScale="90" zoomScaleNormal="90" workbookViewId="0">
      <selection sqref="A1:I1"/>
    </sheetView>
  </sheetViews>
  <sheetFormatPr baseColWidth="10" defaultRowHeight="15" x14ac:dyDescent="0.25"/>
  <cols>
    <col min="2" max="2" width="17.5703125" bestFit="1" customWidth="1"/>
    <col min="3" max="3" width="21" bestFit="1" customWidth="1"/>
    <col min="4" max="4" width="17.5703125" customWidth="1"/>
    <col min="5" max="5" width="58.7109375" bestFit="1" customWidth="1"/>
  </cols>
  <sheetData>
    <row r="1" spans="1:12" x14ac:dyDescent="0.25">
      <c r="A1" s="59" t="s">
        <v>340</v>
      </c>
      <c r="B1" s="59"/>
      <c r="C1" s="59"/>
      <c r="D1" s="59"/>
      <c r="E1" s="59"/>
      <c r="F1" s="59"/>
      <c r="G1" s="59"/>
      <c r="H1" s="59"/>
      <c r="I1" s="59"/>
    </row>
    <row r="3" spans="1:12" x14ac:dyDescent="0.25">
      <c r="A3" s="29" t="s">
        <v>342</v>
      </c>
      <c r="B3" s="29" t="s">
        <v>187</v>
      </c>
      <c r="C3" s="29" t="s">
        <v>352</v>
      </c>
      <c r="D3" s="29" t="s">
        <v>349</v>
      </c>
      <c r="E3" s="29" t="s">
        <v>188</v>
      </c>
      <c r="F3" s="29" t="s">
        <v>192</v>
      </c>
      <c r="G3" s="29" t="s">
        <v>191</v>
      </c>
      <c r="H3" s="1" t="s">
        <v>189</v>
      </c>
      <c r="I3" s="6" t="s">
        <v>385</v>
      </c>
    </row>
    <row r="4" spans="1:12" s="30" customFormat="1" x14ac:dyDescent="0.25">
      <c r="A4" t="s">
        <v>343</v>
      </c>
      <c r="B4" t="s">
        <v>341</v>
      </c>
      <c r="C4" t="s">
        <v>353</v>
      </c>
      <c r="D4" t="s">
        <v>350</v>
      </c>
      <c r="E4" t="s">
        <v>344</v>
      </c>
      <c r="F4" t="s">
        <v>161</v>
      </c>
      <c r="G4">
        <v>1000</v>
      </c>
      <c r="H4"/>
      <c r="I4">
        <f>+G4</f>
        <v>1000</v>
      </c>
      <c r="J4"/>
      <c r="K4"/>
      <c r="L4"/>
    </row>
    <row r="5" spans="1:12" x14ac:dyDescent="0.25">
      <c r="A5" t="s">
        <v>343</v>
      </c>
      <c r="B5" t="s">
        <v>341</v>
      </c>
      <c r="C5" t="s">
        <v>353</v>
      </c>
      <c r="D5" t="s">
        <v>349</v>
      </c>
      <c r="E5" t="s">
        <v>345</v>
      </c>
      <c r="F5" t="s">
        <v>161</v>
      </c>
      <c r="G5">
        <v>500</v>
      </c>
      <c r="I5">
        <f>+G5</f>
        <v>500</v>
      </c>
    </row>
    <row r="6" spans="1:12" x14ac:dyDescent="0.25">
      <c r="A6" t="s">
        <v>343</v>
      </c>
      <c r="B6" t="s">
        <v>341</v>
      </c>
      <c r="C6" t="s">
        <v>353</v>
      </c>
      <c r="D6" t="s">
        <v>349</v>
      </c>
      <c r="E6" t="s">
        <v>346</v>
      </c>
      <c r="F6" t="s">
        <v>161</v>
      </c>
      <c r="G6">
        <v>-100</v>
      </c>
      <c r="I6">
        <f>+G6</f>
        <v>-100</v>
      </c>
    </row>
    <row r="7" spans="1:12" x14ac:dyDescent="0.25">
      <c r="A7" t="s">
        <v>343</v>
      </c>
      <c r="B7" t="s">
        <v>341</v>
      </c>
      <c r="C7" t="s">
        <v>353</v>
      </c>
      <c r="D7" t="s">
        <v>349</v>
      </c>
      <c r="E7" t="s">
        <v>358</v>
      </c>
      <c r="F7" t="s">
        <v>161</v>
      </c>
      <c r="G7">
        <v>-100</v>
      </c>
      <c r="I7">
        <f>+G7</f>
        <v>-100</v>
      </c>
    </row>
    <row r="8" spans="1:12" x14ac:dyDescent="0.25">
      <c r="A8" t="s">
        <v>343</v>
      </c>
      <c r="B8" t="s">
        <v>341</v>
      </c>
      <c r="C8" t="s">
        <v>353</v>
      </c>
      <c r="D8" t="s">
        <v>349</v>
      </c>
      <c r="E8" t="s">
        <v>348</v>
      </c>
      <c r="F8" t="s">
        <v>161</v>
      </c>
      <c r="G8">
        <v>5</v>
      </c>
      <c r="I8">
        <f>+G8</f>
        <v>5</v>
      </c>
    </row>
    <row r="9" spans="1:12" x14ac:dyDescent="0.25">
      <c r="A9" t="s">
        <v>351</v>
      </c>
      <c r="B9" t="s">
        <v>258</v>
      </c>
      <c r="C9" t="s">
        <v>356</v>
      </c>
      <c r="D9" t="s">
        <v>350</v>
      </c>
      <c r="E9" t="s">
        <v>357</v>
      </c>
      <c r="F9" t="s">
        <v>161</v>
      </c>
      <c r="G9">
        <v>200</v>
      </c>
      <c r="H9">
        <v>1</v>
      </c>
      <c r="I9">
        <f>+G9*H9</f>
        <v>200</v>
      </c>
    </row>
    <row r="10" spans="1:12" x14ac:dyDescent="0.25">
      <c r="A10" t="s">
        <v>351</v>
      </c>
      <c r="B10" t="s">
        <v>258</v>
      </c>
      <c r="C10" t="s">
        <v>356</v>
      </c>
      <c r="D10" t="s">
        <v>349</v>
      </c>
      <c r="E10" t="s">
        <v>345</v>
      </c>
      <c r="I10">
        <f>+G10</f>
        <v>0</v>
      </c>
    </row>
    <row r="11" spans="1:12" x14ac:dyDescent="0.25">
      <c r="A11" t="s">
        <v>351</v>
      </c>
      <c r="B11" t="s">
        <v>258</v>
      </c>
      <c r="C11" t="s">
        <v>356</v>
      </c>
      <c r="D11" t="s">
        <v>349</v>
      </c>
      <c r="E11" t="s">
        <v>346</v>
      </c>
      <c r="I11">
        <v>-1</v>
      </c>
    </row>
    <row r="12" spans="1:12" x14ac:dyDescent="0.25">
      <c r="A12" t="s">
        <v>351</v>
      </c>
      <c r="B12" t="s">
        <v>258</v>
      </c>
      <c r="C12" t="s">
        <v>356</v>
      </c>
      <c r="D12" t="s">
        <v>349</v>
      </c>
      <c r="E12" t="s">
        <v>358</v>
      </c>
      <c r="I12">
        <v>-1</v>
      </c>
    </row>
    <row r="13" spans="1:12" x14ac:dyDescent="0.25">
      <c r="A13" t="s">
        <v>351</v>
      </c>
      <c r="B13" t="s">
        <v>258</v>
      </c>
      <c r="C13" t="s">
        <v>356</v>
      </c>
      <c r="D13" t="s">
        <v>349</v>
      </c>
      <c r="E13" t="s">
        <v>359</v>
      </c>
      <c r="I13">
        <v>1</v>
      </c>
    </row>
    <row r="14" spans="1:12" x14ac:dyDescent="0.25">
      <c r="A14" t="s">
        <v>351</v>
      </c>
      <c r="B14" t="s">
        <v>258</v>
      </c>
      <c r="C14" t="s">
        <v>355</v>
      </c>
      <c r="D14" t="s">
        <v>350</v>
      </c>
      <c r="E14" t="s">
        <v>357</v>
      </c>
      <c r="F14" t="s">
        <v>161</v>
      </c>
      <c r="G14">
        <v>1</v>
      </c>
      <c r="I14">
        <v>1</v>
      </c>
    </row>
    <row r="15" spans="1:12" x14ac:dyDescent="0.25">
      <c r="A15" t="s">
        <v>351</v>
      </c>
      <c r="B15" t="s">
        <v>258</v>
      </c>
      <c r="C15" t="s">
        <v>355</v>
      </c>
      <c r="D15" t="s">
        <v>350</v>
      </c>
      <c r="E15" t="s">
        <v>360</v>
      </c>
      <c r="F15" t="s">
        <v>161</v>
      </c>
      <c r="G15">
        <v>1</v>
      </c>
      <c r="I15">
        <v>1</v>
      </c>
    </row>
    <row r="16" spans="1:12" x14ac:dyDescent="0.25">
      <c r="A16" t="s">
        <v>351</v>
      </c>
      <c r="B16" t="s">
        <v>258</v>
      </c>
      <c r="C16" t="s">
        <v>355</v>
      </c>
      <c r="D16" t="s">
        <v>350</v>
      </c>
      <c r="E16" t="s">
        <v>361</v>
      </c>
      <c r="F16" t="s">
        <v>362</v>
      </c>
      <c r="G16">
        <v>1</v>
      </c>
      <c r="I16">
        <v>1</v>
      </c>
    </row>
    <row r="17" spans="1:9" x14ac:dyDescent="0.25">
      <c r="A17" t="s">
        <v>351</v>
      </c>
      <c r="B17" t="s">
        <v>258</v>
      </c>
      <c r="C17" t="s">
        <v>355</v>
      </c>
      <c r="D17" t="s">
        <v>349</v>
      </c>
      <c r="E17" t="s">
        <v>135</v>
      </c>
      <c r="I17">
        <v>1</v>
      </c>
    </row>
    <row r="18" spans="1:9" x14ac:dyDescent="0.25">
      <c r="A18" t="s">
        <v>351</v>
      </c>
      <c r="B18" t="s">
        <v>258</v>
      </c>
      <c r="C18" t="s">
        <v>355</v>
      </c>
      <c r="D18" t="s">
        <v>349</v>
      </c>
      <c r="E18" t="s">
        <v>359</v>
      </c>
      <c r="I18">
        <v>1</v>
      </c>
    </row>
    <row r="19" spans="1:9" x14ac:dyDescent="0.25">
      <c r="A19" t="s">
        <v>351</v>
      </c>
      <c r="B19" t="s">
        <v>258</v>
      </c>
      <c r="C19" t="s">
        <v>355</v>
      </c>
      <c r="D19" t="s">
        <v>349</v>
      </c>
      <c r="E19" t="s">
        <v>363</v>
      </c>
      <c r="I19">
        <v>1</v>
      </c>
    </row>
    <row r="20" spans="1:9" x14ac:dyDescent="0.25">
      <c r="A20" t="s">
        <v>351</v>
      </c>
      <c r="B20" t="s">
        <v>354</v>
      </c>
      <c r="C20">
        <v>1415600</v>
      </c>
      <c r="D20" t="s">
        <v>350</v>
      </c>
      <c r="E20" t="s">
        <v>364</v>
      </c>
      <c r="G20">
        <v>2</v>
      </c>
      <c r="I20">
        <v>1</v>
      </c>
    </row>
    <row r="21" spans="1:9" x14ac:dyDescent="0.25">
      <c r="A21" t="s">
        <v>351</v>
      </c>
      <c r="B21" t="s">
        <v>354</v>
      </c>
      <c r="C21">
        <v>1415600</v>
      </c>
      <c r="D21" t="s">
        <v>349</v>
      </c>
      <c r="E21" t="s">
        <v>365</v>
      </c>
      <c r="G21">
        <v>-2</v>
      </c>
      <c r="I21">
        <v>1</v>
      </c>
    </row>
    <row r="22" spans="1:9" x14ac:dyDescent="0.25">
      <c r="A22" t="s">
        <v>351</v>
      </c>
      <c r="B22" t="s">
        <v>354</v>
      </c>
      <c r="C22">
        <v>1415600</v>
      </c>
      <c r="D22" t="s">
        <v>349</v>
      </c>
      <c r="E22" t="s">
        <v>366</v>
      </c>
      <c r="G22">
        <v>2</v>
      </c>
      <c r="I22">
        <v>1</v>
      </c>
    </row>
    <row r="23" spans="1:9" x14ac:dyDescent="0.25">
      <c r="A23" t="s">
        <v>351</v>
      </c>
      <c r="B23" t="s">
        <v>354</v>
      </c>
      <c r="C23">
        <v>1415600</v>
      </c>
      <c r="D23" t="s">
        <v>349</v>
      </c>
      <c r="E23" t="s">
        <v>367</v>
      </c>
      <c r="G23">
        <v>1</v>
      </c>
      <c r="I23">
        <v>1</v>
      </c>
    </row>
    <row r="24" spans="1:9" x14ac:dyDescent="0.25">
      <c r="A24" t="s">
        <v>351</v>
      </c>
      <c r="B24" t="s">
        <v>354</v>
      </c>
      <c r="C24">
        <v>1415600</v>
      </c>
      <c r="D24" t="s">
        <v>349</v>
      </c>
      <c r="E24" t="s">
        <v>368</v>
      </c>
      <c r="G24">
        <v>0</v>
      </c>
      <c r="I24">
        <v>-0.05</v>
      </c>
    </row>
    <row r="25" spans="1:9" x14ac:dyDescent="0.25">
      <c r="A25" t="s">
        <v>351</v>
      </c>
      <c r="B25" t="s">
        <v>354</v>
      </c>
      <c r="C25">
        <v>1415600</v>
      </c>
      <c r="D25" t="s">
        <v>350</v>
      </c>
      <c r="E25" t="s">
        <v>369</v>
      </c>
      <c r="G25">
        <v>10</v>
      </c>
      <c r="I25">
        <v>15</v>
      </c>
    </row>
    <row r="26" spans="1:9" x14ac:dyDescent="0.25">
      <c r="A26" t="s">
        <v>351</v>
      </c>
      <c r="B26" t="s">
        <v>354</v>
      </c>
      <c r="C26">
        <v>1415600</v>
      </c>
      <c r="D26" t="s">
        <v>349</v>
      </c>
      <c r="E26" t="s">
        <v>370</v>
      </c>
      <c r="G26">
        <v>-0.5</v>
      </c>
      <c r="I26">
        <v>-1</v>
      </c>
    </row>
    <row r="27" spans="1:9" x14ac:dyDescent="0.25">
      <c r="A27" t="s">
        <v>351</v>
      </c>
      <c r="B27" t="s">
        <v>354</v>
      </c>
      <c r="C27">
        <v>1415600</v>
      </c>
      <c r="D27" t="s">
        <v>349</v>
      </c>
      <c r="E27" t="s">
        <v>371</v>
      </c>
      <c r="G27">
        <v>0.5</v>
      </c>
      <c r="I27">
        <v>1</v>
      </c>
    </row>
    <row r="28" spans="1:9" x14ac:dyDescent="0.25">
      <c r="A28" t="s">
        <v>351</v>
      </c>
      <c r="B28" t="s">
        <v>354</v>
      </c>
      <c r="C28">
        <v>1415600</v>
      </c>
      <c r="D28" t="s">
        <v>349</v>
      </c>
      <c r="E28" t="s">
        <v>372</v>
      </c>
      <c r="G28">
        <v>10</v>
      </c>
      <c r="I28">
        <v>12</v>
      </c>
    </row>
    <row r="29" spans="1:9" x14ac:dyDescent="0.25">
      <c r="A29" t="s">
        <v>351</v>
      </c>
      <c r="B29" t="s">
        <v>354</v>
      </c>
      <c r="C29">
        <v>1415600</v>
      </c>
      <c r="D29" t="s">
        <v>349</v>
      </c>
      <c r="E29" t="s">
        <v>373</v>
      </c>
      <c r="G29">
        <v>0</v>
      </c>
      <c r="I29">
        <v>250</v>
      </c>
    </row>
    <row r="30" spans="1:9" x14ac:dyDescent="0.25">
      <c r="A30" t="s">
        <v>351</v>
      </c>
      <c r="B30" t="s">
        <v>354</v>
      </c>
      <c r="C30">
        <v>1415600</v>
      </c>
      <c r="D30" t="s">
        <v>350</v>
      </c>
      <c r="E30" t="s">
        <v>374</v>
      </c>
      <c r="F30" t="s">
        <v>161</v>
      </c>
      <c r="G30">
        <v>1</v>
      </c>
      <c r="I30">
        <v>1</v>
      </c>
    </row>
    <row r="31" spans="1:9" x14ac:dyDescent="0.25">
      <c r="A31" t="s">
        <v>351</v>
      </c>
      <c r="B31" t="s">
        <v>354</v>
      </c>
      <c r="C31">
        <v>1415600</v>
      </c>
      <c r="D31" t="s">
        <v>349</v>
      </c>
      <c r="E31" t="s">
        <v>375</v>
      </c>
      <c r="F31" t="s">
        <v>161</v>
      </c>
      <c r="G31">
        <v>-10</v>
      </c>
      <c r="I31">
        <v>-10</v>
      </c>
    </row>
    <row r="32" spans="1:9" x14ac:dyDescent="0.25">
      <c r="A32" t="s">
        <v>351</v>
      </c>
      <c r="B32" t="s">
        <v>354</v>
      </c>
      <c r="C32">
        <v>1415600</v>
      </c>
      <c r="D32" t="s">
        <v>349</v>
      </c>
      <c r="E32" t="s">
        <v>376</v>
      </c>
      <c r="F32" t="s">
        <v>161</v>
      </c>
      <c r="G32">
        <v>20</v>
      </c>
      <c r="I32">
        <v>20</v>
      </c>
    </row>
    <row r="33" spans="1:10" x14ac:dyDescent="0.25">
      <c r="A33" t="s">
        <v>351</v>
      </c>
      <c r="B33" t="s">
        <v>354</v>
      </c>
      <c r="C33">
        <v>1415600</v>
      </c>
      <c r="D33" t="s">
        <v>349</v>
      </c>
      <c r="E33" t="s">
        <v>377</v>
      </c>
      <c r="F33" t="s">
        <v>161</v>
      </c>
      <c r="G33">
        <v>10</v>
      </c>
      <c r="I33">
        <v>10</v>
      </c>
    </row>
    <row r="34" spans="1:10" x14ac:dyDescent="0.25">
      <c r="A34" t="s">
        <v>351</v>
      </c>
      <c r="B34" t="s">
        <v>354</v>
      </c>
      <c r="C34">
        <v>1415600</v>
      </c>
      <c r="D34" t="s">
        <v>349</v>
      </c>
      <c r="E34" t="s">
        <v>378</v>
      </c>
      <c r="F34" t="s">
        <v>161</v>
      </c>
    </row>
    <row r="35" spans="1:10" x14ac:dyDescent="0.25">
      <c r="A35" t="s">
        <v>351</v>
      </c>
      <c r="B35" t="s">
        <v>354</v>
      </c>
      <c r="C35">
        <v>1415600</v>
      </c>
      <c r="D35" t="s">
        <v>349</v>
      </c>
      <c r="E35" t="s">
        <v>379</v>
      </c>
      <c r="F35" t="s">
        <v>161</v>
      </c>
      <c r="G35">
        <v>-12</v>
      </c>
      <c r="I35">
        <v>-12</v>
      </c>
    </row>
    <row r="36" spans="1:10" x14ac:dyDescent="0.25">
      <c r="A36" t="s">
        <v>351</v>
      </c>
      <c r="B36" t="s">
        <v>354</v>
      </c>
      <c r="C36">
        <v>1415600</v>
      </c>
      <c r="D36" t="s">
        <v>350</v>
      </c>
      <c r="E36" t="s">
        <v>380</v>
      </c>
      <c r="F36" t="s">
        <v>160</v>
      </c>
      <c r="G36">
        <v>100</v>
      </c>
      <c r="I36">
        <v>118</v>
      </c>
    </row>
    <row r="37" spans="1:10" x14ac:dyDescent="0.25">
      <c r="A37" t="s">
        <v>351</v>
      </c>
      <c r="B37" t="s">
        <v>354</v>
      </c>
      <c r="C37">
        <v>1415600</v>
      </c>
      <c r="D37" t="s">
        <v>349</v>
      </c>
      <c r="E37" t="s">
        <v>381</v>
      </c>
      <c r="F37" t="s">
        <v>160</v>
      </c>
      <c r="G37">
        <v>-76</v>
      </c>
      <c r="I37">
        <v>-88</v>
      </c>
    </row>
    <row r="38" spans="1:10" x14ac:dyDescent="0.25">
      <c r="A38" t="s">
        <v>351</v>
      </c>
      <c r="B38" t="s">
        <v>354</v>
      </c>
      <c r="C38">
        <v>1415600</v>
      </c>
      <c r="D38" t="s">
        <v>349</v>
      </c>
      <c r="E38" t="s">
        <v>382</v>
      </c>
      <c r="F38" t="s">
        <v>160</v>
      </c>
      <c r="G38">
        <v>76</v>
      </c>
      <c r="I38">
        <v>87</v>
      </c>
    </row>
    <row r="39" spans="1:10" x14ac:dyDescent="0.25">
      <c r="A39" t="s">
        <v>351</v>
      </c>
      <c r="B39" t="s">
        <v>354</v>
      </c>
      <c r="C39">
        <v>1415600</v>
      </c>
      <c r="D39" t="s">
        <v>349</v>
      </c>
      <c r="E39" t="s">
        <v>383</v>
      </c>
      <c r="F39" t="s">
        <v>160</v>
      </c>
      <c r="G39">
        <v>0.16</v>
      </c>
      <c r="I39">
        <v>0.18</v>
      </c>
    </row>
    <row r="40" spans="1:10" x14ac:dyDescent="0.25">
      <c r="A40" t="s">
        <v>351</v>
      </c>
      <c r="B40" t="s">
        <v>354</v>
      </c>
      <c r="C40">
        <v>1415600</v>
      </c>
      <c r="D40" t="s">
        <v>349</v>
      </c>
      <c r="E40" t="s">
        <v>384</v>
      </c>
      <c r="F40" t="s">
        <v>160</v>
      </c>
      <c r="G40">
        <v>0</v>
      </c>
      <c r="I40">
        <v>-82.8</v>
      </c>
    </row>
    <row r="41" spans="1:10" x14ac:dyDescent="0.25">
      <c r="A41" t="s">
        <v>307</v>
      </c>
      <c r="B41" t="s">
        <v>354</v>
      </c>
      <c r="C41">
        <v>25896004</v>
      </c>
      <c r="D41" t="s">
        <v>350</v>
      </c>
      <c r="E41" t="s">
        <v>161</v>
      </c>
      <c r="F41" t="s">
        <v>161</v>
      </c>
      <c r="G41">
        <v>1000</v>
      </c>
      <c r="I41">
        <v>1000</v>
      </c>
    </row>
    <row r="42" spans="1:10" x14ac:dyDescent="0.25">
      <c r="A42" t="s">
        <v>307</v>
      </c>
      <c r="B42" t="s">
        <v>354</v>
      </c>
      <c r="C42">
        <v>25896004</v>
      </c>
      <c r="D42" t="s">
        <v>349</v>
      </c>
      <c r="E42" t="s">
        <v>386</v>
      </c>
      <c r="F42" t="s">
        <v>161</v>
      </c>
      <c r="G42">
        <v>10</v>
      </c>
      <c r="I42">
        <v>10</v>
      </c>
    </row>
    <row r="43" spans="1:10" x14ac:dyDescent="0.25">
      <c r="A43" t="s">
        <v>307</v>
      </c>
      <c r="B43" t="s">
        <v>354</v>
      </c>
      <c r="C43">
        <v>25896004</v>
      </c>
      <c r="D43" t="s">
        <v>349</v>
      </c>
      <c r="E43" t="s">
        <v>387</v>
      </c>
      <c r="F43" t="s">
        <v>161</v>
      </c>
      <c r="G43">
        <v>20</v>
      </c>
      <c r="I43">
        <v>20</v>
      </c>
    </row>
    <row r="44" spans="1:10" x14ac:dyDescent="0.25">
      <c r="A44" t="s">
        <v>307</v>
      </c>
      <c r="B44" t="s">
        <v>354</v>
      </c>
      <c r="C44">
        <v>25896004</v>
      </c>
      <c r="D44" t="s">
        <v>349</v>
      </c>
      <c r="E44" t="s">
        <v>388</v>
      </c>
      <c r="F44" t="s">
        <v>161</v>
      </c>
    </row>
    <row r="45" spans="1:10" x14ac:dyDescent="0.25">
      <c r="A45" t="s">
        <v>307</v>
      </c>
      <c r="B45" t="s">
        <v>354</v>
      </c>
      <c r="C45">
        <v>25896004</v>
      </c>
      <c r="D45" t="s">
        <v>349</v>
      </c>
      <c r="E45" t="s">
        <v>389</v>
      </c>
      <c r="F45" t="s">
        <v>161</v>
      </c>
      <c r="G45">
        <v>-2</v>
      </c>
      <c r="I45">
        <v>-2</v>
      </c>
      <c r="J45" t="s">
        <v>392</v>
      </c>
    </row>
    <row r="46" spans="1:10" x14ac:dyDescent="0.25">
      <c r="A46" t="s">
        <v>307</v>
      </c>
      <c r="B46" t="s">
        <v>354</v>
      </c>
      <c r="C46">
        <v>25896004</v>
      </c>
      <c r="D46" t="s">
        <v>349</v>
      </c>
      <c r="E46" t="s">
        <v>390</v>
      </c>
      <c r="F46" t="s">
        <v>161</v>
      </c>
      <c r="G46">
        <v>-10</v>
      </c>
      <c r="I46">
        <v>-10</v>
      </c>
      <c r="J46" t="s">
        <v>391</v>
      </c>
    </row>
    <row r="47" spans="1:10" x14ac:dyDescent="0.25">
      <c r="A47" t="s">
        <v>307</v>
      </c>
      <c r="B47" t="s">
        <v>354</v>
      </c>
      <c r="C47">
        <v>25896004</v>
      </c>
      <c r="D47" t="s">
        <v>349</v>
      </c>
      <c r="E47" t="s">
        <v>347</v>
      </c>
      <c r="F47" t="s">
        <v>161</v>
      </c>
      <c r="G47">
        <v>-50</v>
      </c>
      <c r="I47">
        <v>-50</v>
      </c>
    </row>
    <row r="48" spans="1:10" x14ac:dyDescent="0.25">
      <c r="A48" t="s">
        <v>307</v>
      </c>
      <c r="B48" t="s">
        <v>354</v>
      </c>
      <c r="C48">
        <v>25896004</v>
      </c>
      <c r="D48" t="s">
        <v>349</v>
      </c>
      <c r="E48" t="s">
        <v>334</v>
      </c>
      <c r="F48" t="s">
        <v>161</v>
      </c>
      <c r="G48">
        <v>7</v>
      </c>
      <c r="I48">
        <v>7</v>
      </c>
    </row>
    <row r="49" spans="1:12" x14ac:dyDescent="0.25">
      <c r="A49" t="s">
        <v>307</v>
      </c>
      <c r="B49" t="s">
        <v>354</v>
      </c>
      <c r="C49">
        <v>25896002</v>
      </c>
      <c r="D49" t="s">
        <v>350</v>
      </c>
      <c r="E49" t="s">
        <v>393</v>
      </c>
      <c r="F49" t="s">
        <v>160</v>
      </c>
      <c r="G49">
        <v>3.5</v>
      </c>
      <c r="I49">
        <v>4</v>
      </c>
    </row>
    <row r="50" spans="1:12" x14ac:dyDescent="0.25">
      <c r="A50" t="s">
        <v>307</v>
      </c>
      <c r="B50" t="s">
        <v>354</v>
      </c>
      <c r="C50">
        <v>25896002</v>
      </c>
      <c r="D50" t="s">
        <v>350</v>
      </c>
      <c r="E50" t="s">
        <v>394</v>
      </c>
      <c r="F50" t="s">
        <v>160</v>
      </c>
      <c r="G50">
        <v>0</v>
      </c>
      <c r="I50">
        <v>0.2</v>
      </c>
    </row>
    <row r="51" spans="1:12" x14ac:dyDescent="0.25">
      <c r="A51" t="s">
        <v>307</v>
      </c>
      <c r="B51" t="s">
        <v>354</v>
      </c>
      <c r="C51">
        <v>25896002</v>
      </c>
      <c r="D51" t="s">
        <v>350</v>
      </c>
      <c r="E51" t="s">
        <v>395</v>
      </c>
      <c r="F51" t="s">
        <v>160</v>
      </c>
      <c r="G51">
        <v>100</v>
      </c>
      <c r="I51">
        <v>120</v>
      </c>
    </row>
    <row r="52" spans="1:12" x14ac:dyDescent="0.25">
      <c r="A52" t="s">
        <v>307</v>
      </c>
      <c r="B52" t="s">
        <v>354</v>
      </c>
      <c r="C52">
        <v>25896002</v>
      </c>
      <c r="D52" t="s">
        <v>350</v>
      </c>
      <c r="E52" t="s">
        <v>347</v>
      </c>
      <c r="F52" t="s">
        <v>160</v>
      </c>
      <c r="G52">
        <v>-1</v>
      </c>
      <c r="I52">
        <v>-1</v>
      </c>
    </row>
    <row r="53" spans="1:12" x14ac:dyDescent="0.25">
      <c r="A53" t="s">
        <v>307</v>
      </c>
      <c r="B53" t="s">
        <v>354</v>
      </c>
      <c r="C53">
        <v>25896002</v>
      </c>
      <c r="D53" t="s">
        <v>350</v>
      </c>
      <c r="E53" t="s">
        <v>396</v>
      </c>
      <c r="F53" t="s">
        <v>160</v>
      </c>
      <c r="G53">
        <v>-5</v>
      </c>
      <c r="I53">
        <v>-6</v>
      </c>
    </row>
    <row r="55" spans="1:12" x14ac:dyDescent="0.25">
      <c r="A55" t="s">
        <v>325</v>
      </c>
    </row>
    <row r="56" spans="1:12" x14ac:dyDescent="0.25">
      <c r="A56" t="s">
        <v>324</v>
      </c>
    </row>
    <row r="58" spans="1:12" x14ac:dyDescent="0.25">
      <c r="A58" s="58" t="s">
        <v>398</v>
      </c>
      <c r="B58" s="58"/>
      <c r="C58" s="58"/>
      <c r="D58" s="58"/>
      <c r="E58" s="58"/>
      <c r="F58" s="58"/>
      <c r="G58" s="58"/>
    </row>
    <row r="59" spans="1:12" x14ac:dyDescent="0.25">
      <c r="A59" s="34" t="s">
        <v>401</v>
      </c>
      <c r="B59" s="34" t="s">
        <v>400</v>
      </c>
      <c r="C59" s="34" t="s">
        <v>402</v>
      </c>
      <c r="D59" s="35" t="s">
        <v>399</v>
      </c>
      <c r="E59" s="34" t="s">
        <v>403</v>
      </c>
      <c r="F59" s="34" t="s">
        <v>404</v>
      </c>
      <c r="G59" s="34" t="s">
        <v>405</v>
      </c>
    </row>
    <row r="60" spans="1:12" x14ac:dyDescent="0.25">
      <c r="A60" t="s">
        <v>414</v>
      </c>
      <c r="B60" t="s">
        <v>413</v>
      </c>
      <c r="C60" t="s">
        <v>408</v>
      </c>
      <c r="D60" t="s">
        <v>409</v>
      </c>
      <c r="E60">
        <v>1000</v>
      </c>
      <c r="F60" s="36"/>
      <c r="G60" t="s">
        <v>433</v>
      </c>
      <c r="L60" s="4"/>
    </row>
    <row r="61" spans="1:12" x14ac:dyDescent="0.25">
      <c r="A61" t="s">
        <v>431</v>
      </c>
      <c r="B61" t="s">
        <v>432</v>
      </c>
      <c r="C61" t="s">
        <v>415</v>
      </c>
      <c r="D61" s="36" t="s">
        <v>416</v>
      </c>
      <c r="E61">
        <v>100</v>
      </c>
      <c r="G61" t="s">
        <v>434</v>
      </c>
      <c r="J61" s="4"/>
    </row>
    <row r="62" spans="1:12" x14ac:dyDescent="0.25">
      <c r="A62" t="s">
        <v>27</v>
      </c>
      <c r="B62" t="s">
        <v>24</v>
      </c>
      <c r="C62" t="s">
        <v>415</v>
      </c>
      <c r="D62" s="37" t="s">
        <v>416</v>
      </c>
      <c r="E62">
        <v>110</v>
      </c>
      <c r="G62" t="s">
        <v>434</v>
      </c>
    </row>
    <row r="63" spans="1:12" x14ac:dyDescent="0.25">
      <c r="A63" t="s">
        <v>414</v>
      </c>
      <c r="B63" t="s">
        <v>413</v>
      </c>
      <c r="C63" t="s">
        <v>408</v>
      </c>
      <c r="D63" t="s">
        <v>409</v>
      </c>
      <c r="F63">
        <f>+E61</f>
        <v>100</v>
      </c>
      <c r="G63" t="s">
        <v>435</v>
      </c>
      <c r="H63" s="4"/>
    </row>
    <row r="64" spans="1:12" x14ac:dyDescent="0.25">
      <c r="A64" t="s">
        <v>427</v>
      </c>
      <c r="B64" t="s">
        <v>426</v>
      </c>
      <c r="C64" t="s">
        <v>415</v>
      </c>
      <c r="D64" s="37" t="s">
        <v>416</v>
      </c>
      <c r="F64">
        <v>10</v>
      </c>
      <c r="G64" t="s">
        <v>434</v>
      </c>
      <c r="J64" s="4"/>
    </row>
    <row r="65" spans="1:10" x14ac:dyDescent="0.25">
      <c r="A65" t="s">
        <v>27</v>
      </c>
      <c r="B65" t="s">
        <v>24</v>
      </c>
      <c r="C65" t="s">
        <v>415</v>
      </c>
      <c r="D65" s="37" t="s">
        <v>416</v>
      </c>
      <c r="F65">
        <v>1100</v>
      </c>
      <c r="G65" t="s">
        <v>434</v>
      </c>
      <c r="J65" s="4"/>
    </row>
  </sheetData>
  <mergeCells count="2">
    <mergeCell ref="A1:I1"/>
    <mergeCell ref="A58:G5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911E7-6256-4BE6-9F97-379402480D30}">
  <dimension ref="A2:S80"/>
  <sheetViews>
    <sheetView zoomScale="80" zoomScaleNormal="80" workbookViewId="0">
      <selection activeCell="A4" sqref="A4"/>
    </sheetView>
  </sheetViews>
  <sheetFormatPr baseColWidth="10" defaultRowHeight="15" x14ac:dyDescent="0.25"/>
  <cols>
    <col min="2" max="2" width="22.42578125" customWidth="1"/>
    <col min="3" max="3" width="39.28515625" bestFit="1" customWidth="1"/>
    <col min="4" max="4" width="37.28515625" bestFit="1" customWidth="1"/>
    <col min="5" max="6" width="14.5703125" bestFit="1" customWidth="1"/>
    <col min="7" max="7" width="16.5703125" bestFit="1" customWidth="1"/>
    <col min="9" max="9" width="12.42578125" bestFit="1" customWidth="1"/>
  </cols>
  <sheetData>
    <row r="2" spans="1:8" ht="15.75" thickBot="1" x14ac:dyDescent="0.3"/>
    <row r="3" spans="1:8" ht="15.75" thickBot="1" x14ac:dyDescent="0.3">
      <c r="A3" s="55" t="s">
        <v>424</v>
      </c>
      <c r="B3" s="56"/>
      <c r="C3" s="56"/>
      <c r="D3" s="56"/>
      <c r="E3" s="56"/>
      <c r="F3" s="56"/>
      <c r="G3" s="57"/>
    </row>
    <row r="4" spans="1:8" x14ac:dyDescent="0.25">
      <c r="A4" s="29" t="s">
        <v>187</v>
      </c>
      <c r="B4" s="29" t="s">
        <v>352</v>
      </c>
      <c r="C4" s="29" t="s">
        <v>349</v>
      </c>
      <c r="D4" s="29" t="s">
        <v>188</v>
      </c>
      <c r="E4" s="29" t="s">
        <v>192</v>
      </c>
      <c r="F4" s="29" t="s">
        <v>191</v>
      </c>
      <c r="G4" s="1" t="s">
        <v>189</v>
      </c>
      <c r="H4" s="6" t="s">
        <v>385</v>
      </c>
    </row>
    <row r="5" spans="1:8" x14ac:dyDescent="0.25">
      <c r="A5" t="s">
        <v>341</v>
      </c>
      <c r="B5" s="33">
        <v>115088921</v>
      </c>
      <c r="C5" t="s">
        <v>350</v>
      </c>
      <c r="D5" t="s">
        <v>418</v>
      </c>
      <c r="E5" t="s">
        <v>161</v>
      </c>
      <c r="F5">
        <v>1</v>
      </c>
      <c r="H5">
        <f>+F5</f>
        <v>1</v>
      </c>
    </row>
    <row r="6" spans="1:8" x14ac:dyDescent="0.25">
      <c r="A6" t="s">
        <v>341</v>
      </c>
      <c r="B6" s="33">
        <v>113000521</v>
      </c>
      <c r="C6" t="s">
        <v>350</v>
      </c>
      <c r="D6" t="s">
        <v>419</v>
      </c>
      <c r="E6" t="s">
        <v>161</v>
      </c>
      <c r="F6">
        <v>1</v>
      </c>
      <c r="H6">
        <v>1</v>
      </c>
    </row>
    <row r="7" spans="1:8" x14ac:dyDescent="0.25">
      <c r="A7" t="s">
        <v>341</v>
      </c>
      <c r="B7">
        <v>115068749</v>
      </c>
      <c r="C7" t="s">
        <v>350</v>
      </c>
      <c r="D7" t="s">
        <v>418</v>
      </c>
      <c r="E7" t="s">
        <v>160</v>
      </c>
      <c r="F7">
        <v>0.17</v>
      </c>
      <c r="H7">
        <v>0.2</v>
      </c>
    </row>
    <row r="8" spans="1:8" x14ac:dyDescent="0.25">
      <c r="A8" t="s">
        <v>341</v>
      </c>
      <c r="B8" s="33">
        <v>113000521</v>
      </c>
      <c r="C8" t="s">
        <v>349</v>
      </c>
      <c r="D8" t="s">
        <v>421</v>
      </c>
      <c r="E8" t="s">
        <v>161</v>
      </c>
      <c r="F8">
        <v>-1</v>
      </c>
      <c r="H8">
        <v>-1</v>
      </c>
    </row>
    <row r="9" spans="1:8" x14ac:dyDescent="0.25">
      <c r="A9" t="s">
        <v>341</v>
      </c>
      <c r="B9" s="33">
        <v>113000521</v>
      </c>
      <c r="C9" t="s">
        <v>349</v>
      </c>
      <c r="D9" t="s">
        <v>345</v>
      </c>
    </row>
    <row r="10" spans="1:8" x14ac:dyDescent="0.25">
      <c r="A10" t="s">
        <v>341</v>
      </c>
      <c r="B10" s="33">
        <v>113000521</v>
      </c>
      <c r="C10" t="s">
        <v>349</v>
      </c>
      <c r="D10" t="s">
        <v>420</v>
      </c>
      <c r="E10" t="s">
        <v>161</v>
      </c>
      <c r="F10">
        <v>1</v>
      </c>
      <c r="H10">
        <v>1</v>
      </c>
    </row>
    <row r="11" spans="1:8" x14ac:dyDescent="0.25">
      <c r="A11" t="s">
        <v>341</v>
      </c>
      <c r="B11" s="33">
        <v>113000521</v>
      </c>
      <c r="C11" t="s">
        <v>349</v>
      </c>
      <c r="D11" t="s">
        <v>334</v>
      </c>
      <c r="E11" t="s">
        <v>161</v>
      </c>
      <c r="F11">
        <v>1</v>
      </c>
      <c r="H11">
        <v>1</v>
      </c>
    </row>
    <row r="12" spans="1:8" x14ac:dyDescent="0.25">
      <c r="A12" t="s">
        <v>341</v>
      </c>
      <c r="B12" s="33">
        <v>113000521</v>
      </c>
      <c r="C12" t="s">
        <v>349</v>
      </c>
      <c r="D12" t="s">
        <v>347</v>
      </c>
      <c r="E12" t="s">
        <v>161</v>
      </c>
      <c r="F12">
        <v>-1</v>
      </c>
      <c r="H12">
        <v>-1</v>
      </c>
    </row>
    <row r="13" spans="1:8" x14ac:dyDescent="0.25">
      <c r="A13" t="s">
        <v>341</v>
      </c>
      <c r="B13" s="33">
        <v>113016461</v>
      </c>
      <c r="C13" t="s">
        <v>350</v>
      </c>
      <c r="D13" t="s">
        <v>419</v>
      </c>
      <c r="E13" t="s">
        <v>161</v>
      </c>
      <c r="F13">
        <v>500</v>
      </c>
      <c r="H13">
        <v>500</v>
      </c>
    </row>
    <row r="14" spans="1:8" x14ac:dyDescent="0.25">
      <c r="A14" t="s">
        <v>341</v>
      </c>
      <c r="B14" s="33">
        <v>113016461</v>
      </c>
      <c r="C14" t="s">
        <v>349</v>
      </c>
      <c r="D14" t="s">
        <v>421</v>
      </c>
      <c r="E14" t="s">
        <v>161</v>
      </c>
      <c r="F14">
        <v>-1</v>
      </c>
      <c r="H14">
        <v>1</v>
      </c>
    </row>
    <row r="15" spans="1:8" x14ac:dyDescent="0.25">
      <c r="A15" t="s">
        <v>341</v>
      </c>
      <c r="B15" s="33">
        <v>113016461</v>
      </c>
      <c r="C15" t="s">
        <v>349</v>
      </c>
      <c r="D15" t="s">
        <v>345</v>
      </c>
      <c r="E15" t="s">
        <v>161</v>
      </c>
      <c r="F15">
        <v>1</v>
      </c>
      <c r="H15">
        <v>1</v>
      </c>
    </row>
    <row r="16" spans="1:8" x14ac:dyDescent="0.25">
      <c r="A16" t="s">
        <v>341</v>
      </c>
      <c r="B16" s="33">
        <v>113016461</v>
      </c>
      <c r="C16" t="s">
        <v>349</v>
      </c>
      <c r="D16" t="s">
        <v>422</v>
      </c>
      <c r="E16" t="s">
        <v>161</v>
      </c>
      <c r="F16">
        <v>0.5</v>
      </c>
      <c r="H16">
        <v>0.5</v>
      </c>
    </row>
    <row r="17" spans="1:9" x14ac:dyDescent="0.25">
      <c r="A17" t="s">
        <v>341</v>
      </c>
      <c r="B17" s="33">
        <v>113016461</v>
      </c>
      <c r="C17" t="s">
        <v>349</v>
      </c>
      <c r="D17" t="s">
        <v>334</v>
      </c>
      <c r="E17" t="s">
        <v>161</v>
      </c>
      <c r="F17">
        <v>1</v>
      </c>
      <c r="H17">
        <v>1</v>
      </c>
    </row>
    <row r="18" spans="1:9" x14ac:dyDescent="0.25">
      <c r="A18" t="s">
        <v>341</v>
      </c>
      <c r="B18" s="33">
        <v>113016461</v>
      </c>
      <c r="C18" t="s">
        <v>349</v>
      </c>
      <c r="D18" t="s">
        <v>347</v>
      </c>
      <c r="E18" t="s">
        <v>161</v>
      </c>
      <c r="F18">
        <v>-1</v>
      </c>
      <c r="H18">
        <v>-1</v>
      </c>
    </row>
    <row r="19" spans="1:9" x14ac:dyDescent="0.25">
      <c r="A19" s="32"/>
      <c r="B19" s="32"/>
      <c r="C19" s="32"/>
      <c r="D19" s="32"/>
      <c r="E19" s="32"/>
      <c r="F19" s="32"/>
      <c r="G19" s="32"/>
    </row>
    <row r="20" spans="1:9" x14ac:dyDescent="0.25">
      <c r="A20" s="32"/>
      <c r="B20" s="32"/>
      <c r="C20" s="32"/>
      <c r="D20" s="32"/>
      <c r="E20" s="32"/>
      <c r="F20" s="32"/>
      <c r="G20" s="32"/>
    </row>
    <row r="21" spans="1:9" x14ac:dyDescent="0.25">
      <c r="A21" s="32"/>
      <c r="B21" s="32"/>
      <c r="C21" s="32"/>
      <c r="D21" s="32"/>
      <c r="E21" s="32"/>
      <c r="F21" s="32"/>
      <c r="G21" s="32"/>
    </row>
    <row r="22" spans="1:9" x14ac:dyDescent="0.25">
      <c r="A22" s="60" t="s">
        <v>423</v>
      </c>
      <c r="B22" s="60"/>
      <c r="C22" s="60"/>
      <c r="D22" s="60"/>
      <c r="E22" s="60"/>
      <c r="F22" s="60"/>
      <c r="G22" s="60"/>
      <c r="H22" s="60"/>
      <c r="I22" s="60"/>
    </row>
    <row r="23" spans="1:9" x14ac:dyDescent="0.25">
      <c r="A23" s="1"/>
      <c r="B23" s="1" t="s">
        <v>187</v>
      </c>
      <c r="C23" s="1" t="s">
        <v>188</v>
      </c>
      <c r="D23" s="1" t="s">
        <v>192</v>
      </c>
      <c r="E23" s="1" t="s">
        <v>191</v>
      </c>
      <c r="F23" s="1" t="s">
        <v>189</v>
      </c>
      <c r="G23" s="6" t="s">
        <v>294</v>
      </c>
      <c r="H23" s="6" t="s">
        <v>197</v>
      </c>
      <c r="I23" s="27">
        <f>+SUM(G25:G69)</f>
        <v>1670528.0223519655</v>
      </c>
    </row>
    <row r="24" spans="1:9" x14ac:dyDescent="0.25">
      <c r="A24" s="1" t="s">
        <v>304</v>
      </c>
    </row>
    <row r="25" spans="1:9" x14ac:dyDescent="0.25">
      <c r="B25" t="s">
        <v>295</v>
      </c>
      <c r="C25" t="s">
        <v>261</v>
      </c>
      <c r="D25" t="s">
        <v>161</v>
      </c>
      <c r="E25" s="26">
        <v>100</v>
      </c>
      <c r="F25" s="4">
        <v>11703.009829710647</v>
      </c>
      <c r="G25" s="4">
        <f>+F25*E25</f>
        <v>1170300.9829710647</v>
      </c>
    </row>
    <row r="27" spans="1:9" x14ac:dyDescent="0.25">
      <c r="B27" t="s">
        <v>296</v>
      </c>
      <c r="C27" t="s">
        <v>262</v>
      </c>
      <c r="D27" t="s">
        <v>161</v>
      </c>
      <c r="E27" s="26">
        <v>100</v>
      </c>
      <c r="F27">
        <v>0.95143681318681328</v>
      </c>
      <c r="G27" s="4">
        <f>+F27*E27</f>
        <v>95.143681318681331</v>
      </c>
    </row>
    <row r="28" spans="1:9" x14ac:dyDescent="0.25">
      <c r="C28" t="s">
        <v>262</v>
      </c>
      <c r="D28" t="s">
        <v>161</v>
      </c>
      <c r="E28" s="26">
        <v>100</v>
      </c>
      <c r="F28">
        <v>0.9846443609022556</v>
      </c>
      <c r="G28" s="4">
        <f>+F28*E28</f>
        <v>98.464436090225561</v>
      </c>
    </row>
    <row r="30" spans="1:9" x14ac:dyDescent="0.25">
      <c r="B30" t="s">
        <v>297</v>
      </c>
      <c r="C30" t="s">
        <v>263</v>
      </c>
      <c r="D30" t="s">
        <v>161</v>
      </c>
      <c r="E30" s="26">
        <v>100</v>
      </c>
      <c r="F30">
        <v>1.0049825000000001</v>
      </c>
      <c r="G30" s="4">
        <f t="shared" ref="G30:G41" si="0">+F30*E30</f>
        <v>100.49825000000001</v>
      </c>
    </row>
    <row r="31" spans="1:9" x14ac:dyDescent="0.25">
      <c r="C31" t="s">
        <v>264</v>
      </c>
      <c r="D31" t="s">
        <v>161</v>
      </c>
      <c r="E31" s="26">
        <v>100</v>
      </c>
      <c r="F31">
        <v>0.99125521739130451</v>
      </c>
      <c r="G31" s="4">
        <f t="shared" si="0"/>
        <v>99.125521739130448</v>
      </c>
    </row>
    <row r="32" spans="1:9" x14ac:dyDescent="0.25">
      <c r="C32" t="s">
        <v>265</v>
      </c>
      <c r="D32" t="s">
        <v>161</v>
      </c>
      <c r="E32" s="26">
        <v>100</v>
      </c>
      <c r="F32">
        <v>1.0144189473684211</v>
      </c>
      <c r="G32" s="4">
        <f t="shared" si="0"/>
        <v>101.4418947368421</v>
      </c>
    </row>
    <row r="33" spans="2:7" x14ac:dyDescent="0.25">
      <c r="C33" t="s">
        <v>266</v>
      </c>
      <c r="D33" t="s">
        <v>161</v>
      </c>
      <c r="E33" s="26">
        <v>100</v>
      </c>
      <c r="F33">
        <v>0.99298999999999993</v>
      </c>
      <c r="G33" s="4">
        <f t="shared" si="0"/>
        <v>99.298999999999992</v>
      </c>
    </row>
    <row r="34" spans="2:7" x14ac:dyDescent="0.25">
      <c r="C34" t="s">
        <v>267</v>
      </c>
      <c r="D34" t="s">
        <v>161</v>
      </c>
      <c r="E34" s="26">
        <v>100</v>
      </c>
      <c r="F34">
        <v>1.0282531578947367</v>
      </c>
      <c r="G34" s="4">
        <f t="shared" si="0"/>
        <v>102.82531578947368</v>
      </c>
    </row>
    <row r="35" spans="2:7" x14ac:dyDescent="0.25">
      <c r="C35" t="s">
        <v>268</v>
      </c>
      <c r="D35" t="s">
        <v>161</v>
      </c>
      <c r="E35" s="26">
        <v>100</v>
      </c>
      <c r="F35">
        <v>0.98645937500000003</v>
      </c>
      <c r="G35" s="4">
        <f t="shared" si="0"/>
        <v>98.645937500000002</v>
      </c>
    </row>
    <row r="36" spans="2:7" x14ac:dyDescent="0.25">
      <c r="C36" t="s">
        <v>269</v>
      </c>
      <c r="D36" t="s">
        <v>161</v>
      </c>
      <c r="E36" s="26">
        <v>100</v>
      </c>
      <c r="F36">
        <v>1.01092</v>
      </c>
      <c r="G36" s="4">
        <f t="shared" si="0"/>
        <v>101.092</v>
      </c>
    </row>
    <row r="37" spans="2:7" x14ac:dyDescent="0.25">
      <c r="C37" t="s">
        <v>270</v>
      </c>
      <c r="D37" t="s">
        <v>161</v>
      </c>
      <c r="E37" s="26">
        <v>100</v>
      </c>
      <c r="F37">
        <v>0.90385119047619045</v>
      </c>
      <c r="G37" s="4">
        <f t="shared" si="0"/>
        <v>90.385119047619042</v>
      </c>
    </row>
    <row r="38" spans="2:7" x14ac:dyDescent="0.25">
      <c r="C38" t="s">
        <v>271</v>
      </c>
      <c r="D38" t="s">
        <v>161</v>
      </c>
      <c r="E38" s="26">
        <v>100</v>
      </c>
      <c r="F38">
        <v>1.0127127272727272</v>
      </c>
      <c r="G38" s="4">
        <f t="shared" si="0"/>
        <v>101.27127272727272</v>
      </c>
    </row>
    <row r="39" spans="2:7" x14ac:dyDescent="0.25">
      <c r="C39" t="s">
        <v>272</v>
      </c>
      <c r="D39" t="s">
        <v>161</v>
      </c>
      <c r="E39" s="26">
        <v>100</v>
      </c>
      <c r="F39">
        <v>1.0345221739130435</v>
      </c>
      <c r="G39" s="4">
        <f t="shared" si="0"/>
        <v>103.45221739130434</v>
      </c>
    </row>
    <row r="40" spans="2:7" x14ac:dyDescent="0.25">
      <c r="C40" t="s">
        <v>273</v>
      </c>
      <c r="D40" t="s">
        <v>161</v>
      </c>
      <c r="E40" s="26">
        <v>100</v>
      </c>
      <c r="F40">
        <v>1.0510942857142858</v>
      </c>
      <c r="G40" s="4">
        <f t="shared" si="0"/>
        <v>105.10942857142858</v>
      </c>
    </row>
    <row r="41" spans="2:7" x14ac:dyDescent="0.25">
      <c r="C41" t="s">
        <v>274</v>
      </c>
      <c r="D41" t="s">
        <v>161</v>
      </c>
      <c r="E41" s="26">
        <v>100</v>
      </c>
      <c r="F41">
        <v>1.0471299999999999</v>
      </c>
      <c r="G41" s="4">
        <f t="shared" si="0"/>
        <v>104.71299999999999</v>
      </c>
    </row>
    <row r="42" spans="2:7" x14ac:dyDescent="0.25">
      <c r="E42" s="4"/>
      <c r="G42" s="4"/>
    </row>
    <row r="43" spans="2:7" x14ac:dyDescent="0.25">
      <c r="B43" t="s">
        <v>298</v>
      </c>
      <c r="C43" t="s">
        <v>275</v>
      </c>
      <c r="D43" t="s">
        <v>161</v>
      </c>
      <c r="E43" s="26">
        <v>100</v>
      </c>
      <c r="F43">
        <v>0.93932249999999995</v>
      </c>
      <c r="G43" s="4">
        <f>+F43*E43</f>
        <v>93.932249999999996</v>
      </c>
    </row>
    <row r="44" spans="2:7" x14ac:dyDescent="0.25">
      <c r="G44" s="4"/>
    </row>
    <row r="45" spans="2:7" x14ac:dyDescent="0.25">
      <c r="B45" t="s">
        <v>299</v>
      </c>
      <c r="C45" t="s">
        <v>276</v>
      </c>
      <c r="D45" t="s">
        <v>161</v>
      </c>
      <c r="E45" s="26">
        <v>100</v>
      </c>
      <c r="F45" s="24">
        <v>13.277698877435498</v>
      </c>
      <c r="G45" s="4">
        <f>+F45*E45</f>
        <v>1327.7698877435498</v>
      </c>
    </row>
    <row r="46" spans="2:7" x14ac:dyDescent="0.25">
      <c r="C46" t="s">
        <v>277</v>
      </c>
      <c r="D46" t="s">
        <v>161</v>
      </c>
      <c r="E46" s="26">
        <v>100</v>
      </c>
      <c r="F46" s="24">
        <v>252.62998641862225</v>
      </c>
      <c r="G46" s="4">
        <f>+F46*E46</f>
        <v>25262.998641862225</v>
      </c>
    </row>
    <row r="47" spans="2:7" x14ac:dyDescent="0.25">
      <c r="C47" t="s">
        <v>278</v>
      </c>
      <c r="D47" t="s">
        <v>161</v>
      </c>
      <c r="E47" s="26">
        <v>100</v>
      </c>
      <c r="F47" s="24">
        <v>148.30001402604069</v>
      </c>
      <c r="G47" s="4">
        <f>+F47*E47</f>
        <v>14830.001402604068</v>
      </c>
    </row>
    <row r="48" spans="2:7" x14ac:dyDescent="0.25">
      <c r="C48" t="s">
        <v>279</v>
      </c>
      <c r="D48" t="s">
        <v>161</v>
      </c>
      <c r="E48" s="26">
        <v>100</v>
      </c>
      <c r="F48" s="24">
        <v>7.1099999999999994</v>
      </c>
      <c r="G48" s="4">
        <f>+F48*E48</f>
        <v>711</v>
      </c>
    </row>
    <row r="49" spans="2:7" x14ac:dyDescent="0.25">
      <c r="C49" t="s">
        <v>280</v>
      </c>
      <c r="D49" t="s">
        <v>161</v>
      </c>
      <c r="E49" s="26">
        <v>100</v>
      </c>
      <c r="F49" s="24">
        <v>16.440799545162069</v>
      </c>
      <c r="G49" s="4">
        <f>+F49*E49</f>
        <v>1644.079954516207</v>
      </c>
    </row>
    <row r="50" spans="2:7" x14ac:dyDescent="0.25">
      <c r="F50" s="24"/>
      <c r="G50" s="4"/>
    </row>
    <row r="51" spans="2:7" x14ac:dyDescent="0.25">
      <c r="B51" t="s">
        <v>300</v>
      </c>
      <c r="C51" t="s">
        <v>281</v>
      </c>
      <c r="D51" t="s">
        <v>161</v>
      </c>
      <c r="E51" s="26">
        <v>100</v>
      </c>
      <c r="F51" s="24">
        <v>126.16010222673303</v>
      </c>
      <c r="G51" s="4">
        <f>+F51*E51</f>
        <v>12616.010222673303</v>
      </c>
    </row>
    <row r="52" spans="2:7" x14ac:dyDescent="0.25">
      <c r="C52" t="s">
        <v>282</v>
      </c>
      <c r="D52" t="s">
        <v>161</v>
      </c>
      <c r="E52" s="26">
        <v>100</v>
      </c>
      <c r="F52" s="24">
        <v>193.20001462897267</v>
      </c>
      <c r="G52" s="4">
        <f>+F52*E52</f>
        <v>19320.001462897268</v>
      </c>
    </row>
    <row r="53" spans="2:7" x14ac:dyDescent="0.25">
      <c r="C53" t="s">
        <v>283</v>
      </c>
      <c r="D53" t="s">
        <v>161</v>
      </c>
      <c r="E53" s="26">
        <v>100</v>
      </c>
      <c r="F53" s="24">
        <v>14.600000569276707</v>
      </c>
      <c r="G53" s="4">
        <f>+F53*E53</f>
        <v>1460.0000569276708</v>
      </c>
    </row>
    <row r="54" spans="2:7" x14ac:dyDescent="0.25">
      <c r="F54" s="24"/>
      <c r="G54" s="4"/>
    </row>
    <row r="55" spans="2:7" x14ac:dyDescent="0.25">
      <c r="B55" t="s">
        <v>301</v>
      </c>
      <c r="C55" t="s">
        <v>284</v>
      </c>
      <c r="D55" t="s">
        <v>161</v>
      </c>
      <c r="E55" s="26">
        <v>100</v>
      </c>
      <c r="F55" s="17">
        <v>1735.0100950118765</v>
      </c>
      <c r="G55" s="4">
        <f>+F55*E55</f>
        <v>173501.00950118765</v>
      </c>
    </row>
    <row r="56" spans="2:7" x14ac:dyDescent="0.25">
      <c r="C56" t="s">
        <v>285</v>
      </c>
      <c r="D56" t="s">
        <v>161</v>
      </c>
      <c r="E56" s="26">
        <v>100</v>
      </c>
      <c r="F56" s="17">
        <v>564.66999999999996</v>
      </c>
      <c r="G56" s="4">
        <f>+F56*E56</f>
        <v>56466.999999999993</v>
      </c>
    </row>
    <row r="57" spans="2:7" x14ac:dyDescent="0.25">
      <c r="C57" t="s">
        <v>286</v>
      </c>
      <c r="D57" t="s">
        <v>161</v>
      </c>
      <c r="E57" s="26">
        <v>100</v>
      </c>
      <c r="F57" s="17">
        <v>183.37</v>
      </c>
      <c r="G57" s="4">
        <f>+F57*E57</f>
        <v>18337</v>
      </c>
    </row>
    <row r="58" spans="2:7" x14ac:dyDescent="0.25">
      <c r="C58" t="s">
        <v>289</v>
      </c>
      <c r="D58" t="s">
        <v>161</v>
      </c>
      <c r="E58" s="26">
        <v>100</v>
      </c>
      <c r="F58" s="17">
        <v>631.36</v>
      </c>
      <c r="G58" s="4">
        <f>+F58*E58</f>
        <v>63136</v>
      </c>
    </row>
    <row r="59" spans="2:7" x14ac:dyDescent="0.25">
      <c r="C59" t="s">
        <v>290</v>
      </c>
      <c r="D59" t="s">
        <v>161</v>
      </c>
      <c r="E59" s="26">
        <v>100</v>
      </c>
      <c r="F59" s="17">
        <v>580.47</v>
      </c>
      <c r="G59" s="4">
        <f>+F59*E59</f>
        <v>58047</v>
      </c>
    </row>
    <row r="60" spans="2:7" x14ac:dyDescent="0.25">
      <c r="G60" s="4"/>
    </row>
    <row r="61" spans="2:7" x14ac:dyDescent="0.25">
      <c r="B61" t="s">
        <v>302</v>
      </c>
      <c r="C61" t="s">
        <v>291</v>
      </c>
      <c r="D61" t="s">
        <v>161</v>
      </c>
      <c r="E61" s="26">
        <v>100</v>
      </c>
      <c r="F61" s="17">
        <v>112.61228260869565</v>
      </c>
      <c r="G61" s="4">
        <f>+F61*E61</f>
        <v>11261.228260869566</v>
      </c>
    </row>
    <row r="62" spans="2:7" x14ac:dyDescent="0.25">
      <c r="C62" t="s">
        <v>292</v>
      </c>
      <c r="D62" t="s">
        <v>161</v>
      </c>
      <c r="E62" s="26">
        <v>100</v>
      </c>
      <c r="F62" s="17">
        <v>32.69000047716014</v>
      </c>
      <c r="G62" s="4">
        <f>+F62*E62</f>
        <v>3269.0000477160138</v>
      </c>
    </row>
    <row r="63" spans="2:7" x14ac:dyDescent="0.25">
      <c r="G63" s="4"/>
    </row>
    <row r="64" spans="2:7" x14ac:dyDescent="0.25">
      <c r="B64" t="s">
        <v>300</v>
      </c>
      <c r="C64" t="s">
        <v>287</v>
      </c>
      <c r="D64" t="s">
        <v>161</v>
      </c>
      <c r="E64" s="26">
        <v>100</v>
      </c>
      <c r="F64" s="17">
        <v>61.995003223726627</v>
      </c>
      <c r="G64" s="4">
        <f>+F64*E64</f>
        <v>6199.5003223726626</v>
      </c>
    </row>
    <row r="65" spans="1:19" x14ac:dyDescent="0.25">
      <c r="C65" t="s">
        <v>288</v>
      </c>
      <c r="D65" t="s">
        <v>161</v>
      </c>
      <c r="E65" s="26">
        <v>100</v>
      </c>
      <c r="F65" s="17">
        <v>48.555008912655971</v>
      </c>
      <c r="G65" s="4">
        <f>+F65*E65</f>
        <v>4855.5008912655967</v>
      </c>
    </row>
    <row r="66" spans="1:19" x14ac:dyDescent="0.25">
      <c r="G66" s="4"/>
    </row>
    <row r="67" spans="1:19" x14ac:dyDescent="0.25">
      <c r="B67" t="s">
        <v>303</v>
      </c>
      <c r="C67" t="s">
        <v>293</v>
      </c>
      <c r="D67" t="s">
        <v>161</v>
      </c>
      <c r="E67" s="26">
        <v>100</v>
      </c>
      <c r="F67" s="17">
        <v>147.0099925360945</v>
      </c>
      <c r="G67" s="4">
        <f>+F67*E67</f>
        <v>14700.999253609451</v>
      </c>
    </row>
    <row r="69" spans="1:19" x14ac:dyDescent="0.25">
      <c r="A69" t="s">
        <v>305</v>
      </c>
      <c r="B69" t="s">
        <v>303</v>
      </c>
      <c r="C69" t="s">
        <v>306</v>
      </c>
      <c r="D69" t="s">
        <v>161</v>
      </c>
      <c r="E69" s="26">
        <v>100</v>
      </c>
      <c r="F69" s="17">
        <v>117.85540149742651</v>
      </c>
      <c r="G69" s="4">
        <f>+F69*E69</f>
        <v>11785.540149742652</v>
      </c>
    </row>
    <row r="71" spans="1:19" x14ac:dyDescent="0.25">
      <c r="A71" s="58" t="s">
        <v>398</v>
      </c>
      <c r="B71" s="58"/>
      <c r="C71" s="58"/>
      <c r="D71" s="58"/>
      <c r="E71" s="58"/>
      <c r="F71" s="58"/>
      <c r="G71" s="58"/>
    </row>
    <row r="72" spans="1:19" x14ac:dyDescent="0.25">
      <c r="A72" s="34" t="s">
        <v>401</v>
      </c>
      <c r="B72" s="34" t="s">
        <v>400</v>
      </c>
      <c r="C72" s="34" t="s">
        <v>402</v>
      </c>
      <c r="D72" s="35" t="s">
        <v>399</v>
      </c>
      <c r="E72" s="34" t="s">
        <v>403</v>
      </c>
      <c r="F72" s="34" t="s">
        <v>404</v>
      </c>
      <c r="G72" s="34" t="s">
        <v>405</v>
      </c>
    </row>
    <row r="73" spans="1:19" x14ac:dyDescent="0.25">
      <c r="A73" t="s">
        <v>25</v>
      </c>
      <c r="B73" t="s">
        <v>26</v>
      </c>
      <c r="C73" t="s">
        <v>425</v>
      </c>
      <c r="D73" t="s">
        <v>430</v>
      </c>
      <c r="E73" s="4">
        <v>100</v>
      </c>
      <c r="F73" s="4"/>
      <c r="G73" t="s">
        <v>429</v>
      </c>
      <c r="J73" s="36"/>
      <c r="M73" s="36"/>
      <c r="S73" s="4"/>
    </row>
    <row r="74" spans="1:19" x14ac:dyDescent="0.25">
      <c r="A74" t="s">
        <v>134</v>
      </c>
      <c r="B74" t="s">
        <v>135</v>
      </c>
      <c r="C74" t="s">
        <v>425</v>
      </c>
      <c r="D74" t="s">
        <v>430</v>
      </c>
      <c r="E74" s="4"/>
      <c r="F74" s="4">
        <v>10</v>
      </c>
      <c r="G74" t="s">
        <v>428</v>
      </c>
      <c r="M74" s="4"/>
    </row>
    <row r="75" spans="1:19" x14ac:dyDescent="0.25">
      <c r="A75" t="s">
        <v>27</v>
      </c>
      <c r="B75" t="s">
        <v>24</v>
      </c>
      <c r="C75" t="s">
        <v>425</v>
      </c>
      <c r="D75" t="s">
        <v>430</v>
      </c>
      <c r="E75" s="4"/>
      <c r="F75" s="4">
        <v>80</v>
      </c>
      <c r="G75" t="s">
        <v>428</v>
      </c>
      <c r="J75" s="4"/>
    </row>
    <row r="76" spans="1:19" x14ac:dyDescent="0.25">
      <c r="A76" t="s">
        <v>427</v>
      </c>
      <c r="B76" t="s">
        <v>426</v>
      </c>
      <c r="C76" t="s">
        <v>425</v>
      </c>
      <c r="D76" t="s">
        <v>430</v>
      </c>
      <c r="E76" s="4"/>
      <c r="F76" s="4">
        <v>10</v>
      </c>
      <c r="G76" t="s">
        <v>428</v>
      </c>
      <c r="M76" s="4"/>
    </row>
    <row r="77" spans="1:19" x14ac:dyDescent="0.25">
      <c r="E77" s="4"/>
      <c r="F77" s="4"/>
      <c r="H77" s="4"/>
    </row>
    <row r="78" spans="1:19" x14ac:dyDescent="0.25">
      <c r="E78" s="4"/>
      <c r="F78" s="4"/>
      <c r="H78" s="4"/>
    </row>
    <row r="79" spans="1:19" x14ac:dyDescent="0.25">
      <c r="F79" s="4"/>
    </row>
    <row r="80" spans="1:19" x14ac:dyDescent="0.25">
      <c r="F80" s="4"/>
    </row>
  </sheetData>
  <mergeCells count="3">
    <mergeCell ref="A3:G3"/>
    <mergeCell ref="A22:I22"/>
    <mergeCell ref="A71:G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MEP</vt:lpstr>
      <vt:lpstr>PF</vt:lpstr>
      <vt:lpstr>FF</vt:lpstr>
      <vt:lpstr>Inversiones no corrientes</vt:lpstr>
      <vt:lpstr>CASH</vt:lpstr>
      <vt:lpstr>Fundraising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Maris Garcia</dc:creator>
  <cp:lastModifiedBy>Stella Maris Garcia</cp:lastModifiedBy>
  <dcterms:created xsi:type="dcterms:W3CDTF">2025-09-12T14:25:42Z</dcterms:created>
  <dcterms:modified xsi:type="dcterms:W3CDTF">2025-09-19T20:28:21Z</dcterms:modified>
</cp:coreProperties>
</file>