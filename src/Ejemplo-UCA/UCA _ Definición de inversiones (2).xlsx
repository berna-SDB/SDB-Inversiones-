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ella_garcia\Documents\stella\Documentos\FINANZAS\Oracle - Procedimientos\"/>
    </mc:Choice>
  </mc:AlternateContent>
  <xr:revisionPtr revIDLastSave="0" documentId="13_ncr:1_{CCEC3C9C-C62F-41AF-A5BE-47870642AD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ción pendiente" sheetId="1" r:id="rId1"/>
    <sheet name="Asiento Inversiones - Génerico " sheetId="2" state="hidden" r:id="rId2"/>
    <sheet name="MEP" sheetId="10" r:id="rId3"/>
    <sheet name="Record general inversiones" sheetId="3" r:id="rId4"/>
    <sheet name="Diagrama inicial" sheetId="4" r:id="rId5"/>
    <sheet name="Plazo fijo" sheetId="5" r:id="rId6"/>
    <sheet name="Fondo de inversion " sheetId="6" r:id="rId7"/>
    <sheet name="Inversiones no corrientes" sheetId="11" r:id="rId8"/>
    <sheet name="Bono" sheetId="7" r:id="rId9"/>
    <sheet name="Acciones (PENDIENTE REVISIÓN UC" sheetId="8" r:id="rId10"/>
    <sheet name="Renta variable (PENDIENTE REVIS" sheetId="9" r:id="rId11"/>
    <sheet name="CASH" sheetId="12" r:id="rId12"/>
    <sheet name="Fundraising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VNtzf1mBf7CQsKTcEbsfSB6Cha3qstMMFUNCqjkMMpU="/>
    </ext>
  </extLst>
</workbook>
</file>

<file path=xl/calcChain.xml><?xml version="1.0" encoding="utf-8"?>
<calcChain xmlns="http://schemas.openxmlformats.org/spreadsheetml/2006/main">
  <c r="G69" i="13" l="1"/>
  <c r="G67" i="13"/>
  <c r="G65" i="13"/>
  <c r="G64" i="13"/>
  <c r="G62" i="13"/>
  <c r="G61" i="13"/>
  <c r="G59" i="13"/>
  <c r="G58" i="13"/>
  <c r="G57" i="13"/>
  <c r="G56" i="13"/>
  <c r="G55" i="13"/>
  <c r="G53" i="13"/>
  <c r="G52" i="13"/>
  <c r="G51" i="13"/>
  <c r="G49" i="13"/>
  <c r="G48" i="13"/>
  <c r="G47" i="13"/>
  <c r="G46" i="13"/>
  <c r="G45" i="13"/>
  <c r="G43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8" i="13"/>
  <c r="G27" i="13"/>
  <c r="I23" i="13" s="1"/>
  <c r="G25" i="13"/>
  <c r="H5" i="13"/>
  <c r="F63" i="12"/>
  <c r="I10" i="12"/>
  <c r="I9" i="12"/>
  <c r="I8" i="12"/>
  <c r="I7" i="12"/>
  <c r="I6" i="12"/>
  <c r="I5" i="12"/>
  <c r="I4" i="12"/>
  <c r="G142" i="11" l="1"/>
  <c r="G141" i="11"/>
  <c r="J137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5" i="11"/>
  <c r="H74" i="11"/>
  <c r="H73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48" i="11"/>
  <c r="H47" i="11"/>
  <c r="H46" i="11"/>
  <c r="H45" i="11"/>
  <c r="H44" i="11"/>
  <c r="H43" i="11"/>
  <c r="H42" i="11"/>
  <c r="H41" i="11"/>
  <c r="H36" i="11"/>
  <c r="H35" i="11"/>
  <c r="H34" i="11"/>
  <c r="H33" i="11"/>
  <c r="H32" i="11"/>
  <c r="H31" i="11"/>
  <c r="H30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3" i="11"/>
  <c r="H12" i="11"/>
  <c r="H11" i="11"/>
  <c r="H10" i="11"/>
  <c r="H9" i="11"/>
  <c r="H8" i="11"/>
  <c r="H5" i="11"/>
  <c r="F44" i="6"/>
  <c r="E43" i="6"/>
  <c r="F39" i="6"/>
  <c r="E38" i="6"/>
  <c r="C20" i="6"/>
  <c r="F69" i="5"/>
  <c r="E67" i="5"/>
  <c r="F64" i="5"/>
  <c r="E63" i="5"/>
  <c r="F70" i="5" s="1"/>
  <c r="E59" i="5"/>
  <c r="E58" i="5"/>
  <c r="F68" i="5" s="1"/>
  <c r="I15" i="11" l="1"/>
  <c r="I77" i="11"/>
  <c r="I7" i="11"/>
  <c r="J3" i="11" s="1"/>
  <c r="I72" i="11"/>
  <c r="J38" i="11" s="1"/>
  <c r="I41" i="11"/>
  <c r="K9" i="3" l="1"/>
  <c r="D43" i="5"/>
  <c r="C38" i="5"/>
  <c r="D21" i="5"/>
  <c r="D24" i="5" s="1"/>
  <c r="D44" i="5" s="1"/>
  <c r="B21" i="5"/>
  <c r="E34" i="10"/>
  <c r="F35" i="10" s="1"/>
  <c r="F29" i="10"/>
  <c r="E28" i="10"/>
  <c r="E27" i="10"/>
  <c r="E21" i="10"/>
  <c r="F18" i="10"/>
  <c r="F22" i="10" s="1"/>
  <c r="E17" i="10"/>
  <c r="C4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ID#AAABq-VrIXI
valentina Guerra    (2025-09-11 14:56:11)
Estela nos definira un ejemplo para cada tipo de inversion 
Dejando tambien el detalle escrito de cada requerimeinto con las especificaciones contables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9+ZQ+XAOmwAAsto30m1lFp25fA=="/>
    </ext>
  </extLst>
</comments>
</file>

<file path=xl/sharedStrings.xml><?xml version="1.0" encoding="utf-8"?>
<sst xmlns="http://schemas.openxmlformats.org/spreadsheetml/2006/main" count="1565" uniqueCount="548">
  <si>
    <t xml:space="preserve">Información requerida - Pendiente UCA </t>
  </si>
  <si>
    <t xml:space="preserve">Estado </t>
  </si>
  <si>
    <t xml:space="preserve">Revisión de cada campo en cada sheet de inversiones </t>
  </si>
  <si>
    <t xml:space="preserve">Detalle escrito del requerimiento / inversión </t>
  </si>
  <si>
    <t xml:space="preserve">Asientos detallados según cada inversión </t>
  </si>
  <si>
    <t xml:space="preserve">Requerimiento adicional especifico para inversión (En caso de corresponder) </t>
  </si>
  <si>
    <t>Revisión de inversiones pendientes (Sin MEP)</t>
  </si>
  <si>
    <t xml:space="preserve">Custom del form de asiento específico de inversiones </t>
  </si>
  <si>
    <t xml:space="preserve">MEP </t>
  </si>
  <si>
    <t>Información requerida - Pendiente SDB</t>
  </si>
  <si>
    <t xml:space="preserve">Respuesta al requerimeinto de cada inversión </t>
  </si>
  <si>
    <t xml:space="preserve">Respuesta al requerimiento de Diferencia de cotización </t>
  </si>
  <si>
    <t xml:space="preserve">Revisión de acciones según cada inversión </t>
  </si>
  <si>
    <t>Nombre del campo</t>
  </si>
  <si>
    <t>Tipo de dato</t>
  </si>
  <si>
    <t>Lista</t>
  </si>
  <si>
    <t>Ejemplo / Uso</t>
  </si>
  <si>
    <t>Subsidiaria</t>
  </si>
  <si>
    <t>Lista (Subsidiary)</t>
  </si>
  <si>
    <t>Subsidiaria Uruguay</t>
  </si>
  <si>
    <t>Lista de subsidiarias</t>
  </si>
  <si>
    <t>Moneda</t>
  </si>
  <si>
    <t>Lista (Currency)</t>
  </si>
  <si>
    <t>USD</t>
  </si>
  <si>
    <t>Lista de monedas</t>
  </si>
  <si>
    <t>Institución financiera</t>
  </si>
  <si>
    <t>Lista/Record (Vendor)</t>
  </si>
  <si>
    <t>Banco ABC</t>
  </si>
  <si>
    <t>Lista de proveedores</t>
  </si>
  <si>
    <t>Tipo de inversión</t>
  </si>
  <si>
    <t>Lista (valores fijos)</t>
  </si>
  <si>
    <t>Fondo, Plazo Fijo, Bono, Acciones</t>
  </si>
  <si>
    <t>Plazo fijo</t>
  </si>
  <si>
    <t>Bono</t>
  </si>
  <si>
    <t>Acciones</t>
  </si>
  <si>
    <t>Renta variable</t>
  </si>
  <si>
    <t>Fondo de inversion 1</t>
  </si>
  <si>
    <t>Fondo de inversion 2</t>
  </si>
  <si>
    <t>Fondo de inversion 3</t>
  </si>
  <si>
    <t>Plazo de inversión</t>
  </si>
  <si>
    <t>Lista desplegable</t>
  </si>
  <si>
    <t>Corto plazo</t>
  </si>
  <si>
    <t>Largo plazo</t>
  </si>
  <si>
    <t>Número de contrato / referencia</t>
  </si>
  <si>
    <t>Texto (máx. 50)</t>
  </si>
  <si>
    <t>INV-2025-001</t>
  </si>
  <si>
    <t>Monto invertido (capital inicial)</t>
  </si>
  <si>
    <t>Número decimal (moneda)</t>
  </si>
  <si>
    <t>150.000,00</t>
  </si>
  <si>
    <t>Cuotapartes</t>
  </si>
  <si>
    <t>Número decimal</t>
  </si>
  <si>
    <t>1.500</t>
  </si>
  <si>
    <t>Valor cuota inicial</t>
  </si>
  <si>
    <t>100,00</t>
  </si>
  <si>
    <t>Valor actual / valor rescate</t>
  </si>
  <si>
    <t>120,50</t>
  </si>
  <si>
    <t>Fecha de inicio</t>
  </si>
  <si>
    <t>Fecha</t>
  </si>
  <si>
    <t>01/01/2025</t>
  </si>
  <si>
    <t>Fecha de finalización</t>
  </si>
  <si>
    <t>31/12/2025</t>
  </si>
  <si>
    <t>Periodicidad de pago</t>
  </si>
  <si>
    <t>Mensual, Trimestral, Anual</t>
  </si>
  <si>
    <t>Mensual</t>
  </si>
  <si>
    <t>Bimensual</t>
  </si>
  <si>
    <t>Trimensual</t>
  </si>
  <si>
    <t>Semestral</t>
  </si>
  <si>
    <t>Anual</t>
  </si>
  <si>
    <t>Estado de la inversión</t>
  </si>
  <si>
    <t>Activa, Rescatada Parcial, Cancelada</t>
  </si>
  <si>
    <t>Rentabilidad esperada (%)</t>
  </si>
  <si>
    <t>Porcentaje</t>
  </si>
  <si>
    <t>8,5 %</t>
  </si>
  <si>
    <t>Rentabilidad realizada (%)</t>
  </si>
  <si>
    <t>Custom</t>
  </si>
  <si>
    <t>9,2 %</t>
  </si>
  <si>
    <t>Activa</t>
  </si>
  <si>
    <t>Resacatada parcial</t>
  </si>
  <si>
    <t>Cancelada</t>
  </si>
  <si>
    <t>Fecha de último cálculo</t>
  </si>
  <si>
    <t>30/06/2025</t>
  </si>
  <si>
    <t>Próxima fecha de vencimiento</t>
  </si>
  <si>
    <t>Intereses devengados</t>
  </si>
  <si>
    <t>5.000,00</t>
  </si>
  <si>
    <t>formula</t>
  </si>
  <si>
    <t>Intereses cobrados</t>
  </si>
  <si>
    <t>4.000,00</t>
  </si>
  <si>
    <t>Costos o comisiones</t>
  </si>
  <si>
    <t>500,00</t>
  </si>
  <si>
    <t>Cuenta contable de activo</t>
  </si>
  <si>
    <t>Lista (Account)</t>
  </si>
  <si>
    <t>1.1.05.01 – Inversiones a corto plazo</t>
  </si>
  <si>
    <t>Cuenta contable de resultado</t>
  </si>
  <si>
    <t>4.1.02.05 – Rendimientos financieros</t>
  </si>
  <si>
    <t>Responsable interno</t>
  </si>
  <si>
    <t>Lista/Record (Employee)</t>
  </si>
  <si>
    <t>Juan Pérez</t>
  </si>
  <si>
    <t>Notas / comentarios</t>
  </si>
  <si>
    <t>Texto largo</t>
  </si>
  <si>
    <t>Inversión con renovación automática</t>
  </si>
  <si>
    <t xml:space="preserve"> </t>
  </si>
  <si>
    <t>Archivo</t>
  </si>
  <si>
    <t>Contrato.pdf</t>
  </si>
  <si>
    <t xml:space="preserve">ARMAR OTRA CUSTOM EN DONDE SE TOMEN TODAS LAS INVERSIONES DEL MES - SE COLOQUE LA COTIZACION DE CADA INVERSION Y GENERE UN ASIENTO POR LA DIFERENCIA DE COTIZACION </t>
  </si>
  <si>
    <t>ARS</t>
  </si>
  <si>
    <t>Santander, Banco Galicia</t>
  </si>
  <si>
    <t>Subtipo</t>
  </si>
  <si>
    <t>Tradicional</t>
  </si>
  <si>
    <t>Precancelable</t>
  </si>
  <si>
    <t xml:space="preserve">Única opción </t>
  </si>
  <si>
    <t>Única opción</t>
  </si>
  <si>
    <t>Cuenta inversora</t>
  </si>
  <si>
    <t>Capital invertido (capital inicial)</t>
  </si>
  <si>
    <t>Tasa nominal (TNA)</t>
  </si>
  <si>
    <t xml:space="preserve">A DEFINIR CUENTAS </t>
  </si>
  <si>
    <t xml:space="preserve">Cuenta contable intereses </t>
  </si>
  <si>
    <t xml:space="preserve">Se necesitará crear 1 asiento al momento de la creación, 1 asiento al momento del devengamiento de intereses y 1 asiento al momento de la finalización </t>
  </si>
  <si>
    <t xml:space="preserve">Se podra finalizar antes de la fecha de vencimiento </t>
  </si>
  <si>
    <t xml:space="preserve">Se necesitaran calcular los intereses según la fecha de cierre de mes y de finalización </t>
  </si>
  <si>
    <t xml:space="preserve">Debera calcular intereses segun precancelacion y no segun fcha vto </t>
  </si>
  <si>
    <t xml:space="preserve">D </t>
  </si>
  <si>
    <t xml:space="preserve">H </t>
  </si>
  <si>
    <t>Dejar detallados los asientos</t>
  </si>
  <si>
    <t>Plazo Fijo</t>
  </si>
  <si>
    <t xml:space="preserve">ASIENTO 1 </t>
  </si>
  <si>
    <t xml:space="preserve">ASIENTO 2 </t>
  </si>
  <si>
    <t xml:space="preserve">ASIENTO 3 </t>
  </si>
  <si>
    <t>Galicia, Santander</t>
  </si>
  <si>
    <t>Fondo de inversión 1</t>
  </si>
  <si>
    <t xml:space="preserve">Cantidad de cuotapartes </t>
  </si>
  <si>
    <t xml:space="preserve">Valor cuotaparte </t>
  </si>
  <si>
    <t>valor cuota</t>
  </si>
  <si>
    <t xml:space="preserve">Capital Invertido </t>
  </si>
  <si>
    <t>Multiplicacion de Cantidad de C x $</t>
  </si>
  <si>
    <t xml:space="preserve">(valor cuota x Cantidad) </t>
  </si>
  <si>
    <t xml:space="preserve">Suscripcion </t>
  </si>
  <si>
    <t xml:space="preserve">Cotizacion al inicio </t>
  </si>
  <si>
    <t xml:space="preserve">Integracion con Bco </t>
  </si>
  <si>
    <t xml:space="preserve">Rescate </t>
  </si>
  <si>
    <t>Cotizacion al cierre contable</t>
  </si>
  <si>
    <t>Activa, Cancelada</t>
  </si>
  <si>
    <t xml:space="preserve">Cuentas contables involucradas </t>
  </si>
  <si>
    <t>Cuenta contable 1</t>
  </si>
  <si>
    <t>Cuenta contable 2</t>
  </si>
  <si>
    <t xml:space="preserve">Generacion de asientos </t>
  </si>
  <si>
    <t xml:space="preserve">SUSCRIPCION </t>
  </si>
  <si>
    <t xml:space="preserve">FONDO FIMA </t>
  </si>
  <si>
    <t xml:space="preserve">BANCO </t>
  </si>
  <si>
    <t xml:space="preserve">RESCATE PARCIAL </t>
  </si>
  <si>
    <t xml:space="preserve">RESCATE TOTAL </t>
  </si>
  <si>
    <t xml:space="preserve">POR LA DIFERENCIA ENTRE LA SUSCRIPCION Y EL RESCATE PARCIAL </t>
  </si>
  <si>
    <t xml:space="preserve">IOR - JP - SANTANDER </t>
  </si>
  <si>
    <t xml:space="preserve">COMPLETAR TIPOS DE BONOS </t>
  </si>
  <si>
    <t xml:space="preserve">Referencia </t>
  </si>
  <si>
    <t xml:space="preserve">Cantidad </t>
  </si>
  <si>
    <t xml:space="preserve">Numero </t>
  </si>
  <si>
    <t xml:space="preserve">Cotizacion </t>
  </si>
  <si>
    <t xml:space="preserve">Compra / Venta </t>
  </si>
  <si>
    <t>CUENTAS CONTABLES</t>
  </si>
  <si>
    <t>Cuenta contable 3</t>
  </si>
  <si>
    <t xml:space="preserve">Completado </t>
  </si>
  <si>
    <t>DOLARES MEP</t>
  </si>
  <si>
    <r>
      <rPr>
        <b/>
        <u/>
        <sz val="11"/>
        <color theme="1"/>
        <rFont val="Calibri"/>
        <family val="2"/>
        <scheme val="minor"/>
      </rPr>
      <t>Compra Dolares MEP</t>
    </r>
    <r>
      <rPr>
        <sz val="11"/>
        <color theme="1"/>
        <rFont val="Calibri"/>
        <scheme val="minor"/>
      </rPr>
      <t>: operación que se realiza con el exterior para aqduirir dolares.</t>
    </r>
  </si>
  <si>
    <t xml:space="preserve">El procedimiento es enviar pesos desde un Banco Local a otro banco del Exterior (Balanz). </t>
  </si>
  <si>
    <t>Balanz compra bonos en pesos con ese importe, luego vende esos bonos en dolares y eso se transfiere a un Banco en dolares.</t>
  </si>
  <si>
    <t>Aca juega diferentes tipos de cambio según el momento de la operación.</t>
  </si>
  <si>
    <t>EJEMPLO</t>
  </si>
  <si>
    <t>TRANSFERENCIA DE FONDOS AL EXTERIOR.</t>
  </si>
  <si>
    <t xml:space="preserve">OP 00132523 </t>
  </si>
  <si>
    <t>Debe</t>
  </si>
  <si>
    <t>Haber</t>
  </si>
  <si>
    <t>111.21.58</t>
  </si>
  <si>
    <t>Alic Balanz $</t>
  </si>
  <si>
    <t>111.21.19</t>
  </si>
  <si>
    <t>Banco Galicia c/c 71084-0 999-3 Fundraising</t>
  </si>
  <si>
    <t>Compra de Bono AE 38 (nombre del bono) en pesos</t>
  </si>
  <si>
    <t>112.11.05</t>
  </si>
  <si>
    <t>Títulos Alic Balanz</t>
  </si>
  <si>
    <t>Venta Bono en dolares (AE 38) tipo de cambio 1.150.-</t>
  </si>
  <si>
    <t>Los dolares adquiridos son detallados por mail de Balanz como "operaciones concertadas")</t>
  </si>
  <si>
    <t xml:space="preserve">111.22.03 </t>
  </si>
  <si>
    <t>Alic Balanz U$S</t>
  </si>
  <si>
    <t>(el tipo de cambio surge del BNA del dia dólar usa comprador)</t>
  </si>
  <si>
    <t>Diferencia de cambio dólar cable tipo de cambio 1.205</t>
  </si>
  <si>
    <t>El tipo de cambio 1.205 fue el que se fijo en la operación con Balanz, y esto genera la diferencia con el contabilizado anteriormente)</t>
  </si>
  <si>
    <t>822.00.02</t>
  </si>
  <si>
    <t>Diferencia de cambio</t>
  </si>
  <si>
    <t>Hay dos opciones que se realiza con los dolares adquiridos:</t>
  </si>
  <si>
    <t>1 - Dólares ingresados en el exterior</t>
  </si>
  <si>
    <t>Transferencia Balanz al Banco Santander usd 10 (t.c 1140)</t>
  </si>
  <si>
    <t>Se contabiliza el ingreso de los dolares al Banco del Exterior, el tipo de cambio que se contabiliza es al cierre del ejercicio anterior.</t>
  </si>
  <si>
    <t>122.30.02</t>
  </si>
  <si>
    <t>Fundraising</t>
  </si>
  <si>
    <t>813.00.02</t>
  </si>
  <si>
    <t>2 - Dólares ingresados en el Banco local</t>
  </si>
  <si>
    <t>Se contabiliza al tipo de cambio de la fecha del asiento: 1150 según BNA</t>
  </si>
  <si>
    <t>111.22.07</t>
  </si>
  <si>
    <t xml:space="preserve">Banco Santander c/c (u$s) 575-045269/6 </t>
  </si>
  <si>
    <t>Fondo, Plazo Fijo, Bono, Acciones, Renta Fija</t>
  </si>
  <si>
    <t>(puede haber mas bancos:</t>
  </si>
  <si>
    <t xml:space="preserve">Plazo Fijo Comafi Pesos </t>
  </si>
  <si>
    <t xml:space="preserve">Plazo Fijo Rio Pesos </t>
  </si>
  <si>
    <t xml:space="preserve">Plazo Fijo Galicia Pesos </t>
  </si>
  <si>
    <t xml:space="preserve">Plazo Fijo Frances Pesos </t>
  </si>
  <si>
    <t xml:space="preserve">Plazo fijo Banco Macro pesos </t>
  </si>
  <si>
    <t xml:space="preserve">Plazo Fijo Macro (Dcho.Rosario) pesos </t>
  </si>
  <si>
    <t xml:space="preserve">Plazo Fijo Bco.Credicop (Paraná) pesos </t>
  </si>
  <si>
    <t xml:space="preserve">Plazo Fijo Bco.Bersa (Paraná) pesos </t>
  </si>
  <si>
    <t xml:space="preserve">Plazo Fijo HSBC Pesos </t>
  </si>
  <si>
    <t xml:space="preserve">Plazo Fijo Bco Municipal Rosario Pesos </t>
  </si>
  <si>
    <t xml:space="preserve">Plazo Fijo Bco.Santander Rio (Paraná) pesos </t>
  </si>
  <si>
    <t>Fecha de constitución</t>
  </si>
  <si>
    <t xml:space="preserve">	112.21.03</t>
  </si>
  <si>
    <t>Plazo Fijo Galicia Pesos</t>
  </si>
  <si>
    <t>812.00.02</t>
  </si>
  <si>
    <t>Intereses p/depositos a plazo fijo- pesos</t>
  </si>
  <si>
    <t>111.21.04</t>
  </si>
  <si>
    <t>Banco Galicia c/c 53398/4/999/7</t>
  </si>
  <si>
    <t>ASIENTO 2</t>
  </si>
  <si>
    <t>Los intereses devengados se contabilizan solo al cierre del ejercicio anual si hay algun plazo fijo pendiente</t>
  </si>
  <si>
    <t>Fecha de finalización (vencimiento)</t>
  </si>
  <si>
    <t>Días</t>
  </si>
  <si>
    <t>Y la consulta es sobre el año bisiesto: como lo calcula el sistema</t>
  </si>
  <si>
    <t>112.41.01</t>
  </si>
  <si>
    <t xml:space="preserve">Fondo de inversión Santander Rio pesos </t>
  </si>
  <si>
    <t>112.41.02</t>
  </si>
  <si>
    <t xml:space="preserve">Fondo de inversión Galicia pesos </t>
  </si>
  <si>
    <t>112.41.03</t>
  </si>
  <si>
    <t xml:space="preserve">Fondo de inversión Francés pesos </t>
  </si>
  <si>
    <t>112.41.04</t>
  </si>
  <si>
    <t xml:space="preserve">Fondo de inversión Comafi pesos </t>
  </si>
  <si>
    <t>112.41.05</t>
  </si>
  <si>
    <t xml:space="preserve">Fondo de inversión Macro pesos </t>
  </si>
  <si>
    <t>112.41.06</t>
  </si>
  <si>
    <t xml:space="preserve">Fondo de inversión HSBC pesos </t>
  </si>
  <si>
    <t>112.41.07</t>
  </si>
  <si>
    <t xml:space="preserve">Fondo de inversión Galicia pesos UCA Tec </t>
  </si>
  <si>
    <t>112.41.08</t>
  </si>
  <si>
    <t>Fondo de inversión Galicia pesos Red de Universidades Católicas</t>
  </si>
  <si>
    <t>112.41.09</t>
  </si>
  <si>
    <t xml:space="preserve">Fondo de inversión Supervielle pesos </t>
  </si>
  <si>
    <t>112.41.10</t>
  </si>
  <si>
    <t xml:space="preserve">Fondo de inversión Galicia pesos Fundraising </t>
  </si>
  <si>
    <t>Cuentas en ARS</t>
  </si>
  <si>
    <t>Cuentas en Dolares</t>
  </si>
  <si>
    <t>PLAZO FIJO EN DOLARES</t>
  </si>
  <si>
    <t>112.22.01</t>
  </si>
  <si>
    <t>Plazo Fijo Santander dólares</t>
  </si>
  <si>
    <t>112.22.02</t>
  </si>
  <si>
    <t>Plazo Fijo Macro dólares</t>
  </si>
  <si>
    <t>112.22.50</t>
  </si>
  <si>
    <t>Int.a Devengar Plazo Fijo u$s</t>
  </si>
  <si>
    <t>Tipo</t>
  </si>
  <si>
    <t>Sutipo</t>
  </si>
  <si>
    <t>Constitucion</t>
  </si>
  <si>
    <t>Monto</t>
  </si>
  <si>
    <t>Interes tasa</t>
  </si>
  <si>
    <t>Tipo de cambio</t>
  </si>
  <si>
    <t>Intereses</t>
  </si>
  <si>
    <t>Dias</t>
  </si>
  <si>
    <t>Vencimiento</t>
  </si>
  <si>
    <t>Constitucion plazo fijo en dolares Bco Santander</t>
  </si>
  <si>
    <t>111.22.02</t>
  </si>
  <si>
    <t>Banco Santander c/c (u$s) 250-750710/8</t>
  </si>
  <si>
    <t>Cancelacion plazo fijo en dolares Bco Santander</t>
  </si>
  <si>
    <t>112.42.01</t>
  </si>
  <si>
    <t xml:space="preserve">Fondo de Inversión Santander Rio dólares </t>
  </si>
  <si>
    <t>112.42.02</t>
  </si>
  <si>
    <t xml:space="preserve">Fondo de Inversión Galicia dólares </t>
  </si>
  <si>
    <t>112.42.03</t>
  </si>
  <si>
    <t xml:space="preserve">Fondo de inversión Francés dólares </t>
  </si>
  <si>
    <t>112.42.04</t>
  </si>
  <si>
    <t xml:space="preserve">Fondo de inversión Comafi dólares </t>
  </si>
  <si>
    <t>112.42.05</t>
  </si>
  <si>
    <t xml:space="preserve">Fondo de inversión Macro dólares </t>
  </si>
  <si>
    <t xml:space="preserve">Fondo Fima Premium  Clase "A" </t>
  </si>
  <si>
    <t>Fondo Fima Premium  Clase "B"</t>
  </si>
  <si>
    <t>Super Ahorro $</t>
  </si>
  <si>
    <t>Galicia</t>
  </si>
  <si>
    <t>Santander</t>
  </si>
  <si>
    <t>GALICIA</t>
  </si>
  <si>
    <t>Fima Premium Dolares</t>
  </si>
  <si>
    <t>SANTANDER</t>
  </si>
  <si>
    <t>SUPERFONDO AHORRO USD</t>
  </si>
  <si>
    <t>Cuenta comitente /Cuenta titulos</t>
  </si>
  <si>
    <t>no se utiliza como el plazo fijo, se rescata cuando es necesario</t>
  </si>
  <si>
    <t>Fondo de inversión Galicia pesos Fundraising</t>
  </si>
  <si>
    <t>PESOS</t>
  </si>
  <si>
    <t>Detalle de bonos</t>
  </si>
  <si>
    <t>PICTET</t>
  </si>
  <si>
    <t>TOTAL</t>
  </si>
  <si>
    <t>Descripcion</t>
  </si>
  <si>
    <t>Cantidad</t>
  </si>
  <si>
    <t>Valoracion</t>
  </si>
  <si>
    <t>Total</t>
  </si>
  <si>
    <t>A corto plazo</t>
  </si>
  <si>
    <t>PCH-SHORT-TERM MM USD-I DY</t>
  </si>
  <si>
    <t>Renta Fija (Fixed Income)</t>
  </si>
  <si>
    <t>SSGA-GL.TR.1-10 BD IDX I USD H-ACC</t>
  </si>
  <si>
    <t>BLACKSTONE-LCGIGCB A USD -ACC.-</t>
  </si>
  <si>
    <t>HSBC GFI-GL.CORP.BD ETF S USD H-ACC</t>
  </si>
  <si>
    <t>BARINGS-GLOBAL H/Y BOND B USD-ACC</t>
  </si>
  <si>
    <t>SSGA LUX-EM.MK LOC.CCY GOV.BD I USD</t>
  </si>
  <si>
    <t>BLACKROCK-ISH.GL.SEC.IN.S USD H-AC</t>
  </si>
  <si>
    <t>Acciones (EQUITIES y METALES)</t>
  </si>
  <si>
    <t>D&amp;C WORLDWIDE-GLOBAL STOCK USD-ACC</t>
  </si>
  <si>
    <t>DWS INVEST-GL.INFRAS.IC250 USD-ACC-</t>
  </si>
  <si>
    <t>UI MONTRU BOLT GL</t>
  </si>
  <si>
    <t>BLACKROCK I-GLB UNC.EQ.D USD-ACC</t>
  </si>
  <si>
    <t>CANTILLON GLOBAL EQUTY</t>
  </si>
  <si>
    <t>PICTET-QUEST AI-DRIVEN GL.EQ.J USD</t>
  </si>
  <si>
    <t>UBS(IRL)-MSCI WORLD A USD ET</t>
  </si>
  <si>
    <t>VANGUARD-GL STOCK IDX INST+ USD ACC</t>
  </si>
  <si>
    <t>VANGUARD IS-EUR.ST IND.INS.EUR PLUS</t>
  </si>
  <si>
    <t>TT INTL EMERG MKTS UNCONS P1</t>
  </si>
  <si>
    <t>NORDEA 1-GL.REAL EST.BD USD-ACC</t>
  </si>
  <si>
    <t xml:space="preserve"> KEMPEN IF-(LUX)GL.SM.-CAP I USD-ACC</t>
  </si>
  <si>
    <t>Metales</t>
  </si>
  <si>
    <t>ALPHANATICS FUND E USD</t>
  </si>
  <si>
    <t>ALPHANATICS FUND E USD REST</t>
  </si>
  <si>
    <t>ALPHANATICS FUND E USD -T.REC.-</t>
  </si>
  <si>
    <t>PAF-PLEIAD-I USD</t>
  </si>
  <si>
    <t>PAF-PLEIAD-J USD</t>
  </si>
  <si>
    <t>PICTET TR-DIVERSIFIED ALPHA-HI USD</t>
  </si>
  <si>
    <t>PPMF CH-PHYSICAL GOLD J DY USD</t>
  </si>
  <si>
    <t>J P MORGAN INVERSIONES</t>
  </si>
  <si>
    <t>Cuenta</t>
  </si>
  <si>
    <t>Fixed Income</t>
  </si>
  <si>
    <t>LUMYNA EURO DEBT GOVT USD 
ACC B</t>
  </si>
  <si>
    <t>LUMYNA -GLOBAL DEBT-GOVT</t>
  </si>
  <si>
    <t>HSBC GLB AGG BD ID USD ACC S5CH</t>
  </si>
  <si>
    <t>NATIXIS INTERNATIONAL FUNDS</t>
  </si>
  <si>
    <t>EUR</t>
  </si>
  <si>
    <t>PIMCO TOTAL RETURN BOND FD</t>
  </si>
  <si>
    <t>INVES US TRE BD 7-10 UCITS ETF</t>
  </si>
  <si>
    <t xml:space="preserve">ISHARES CHINA CNY BOND ETF </t>
  </si>
  <si>
    <t>XTRACKERS II - XTRACKERS II 
EUROZON
ETF</t>
  </si>
  <si>
    <t>Equities</t>
  </si>
  <si>
    <t>BLACKROCK INSTITUTIONAL POOLED EUR</t>
  </si>
  <si>
    <t>BLACKROCK JAPAN EQ 1 FD JPY ACC J</t>
  </si>
  <si>
    <t>JPY</t>
  </si>
  <si>
    <t>INVESCO COMMS S&amp;P US SEL SECT USD</t>
  </si>
  <si>
    <t>INVESCO CONSTAP SP US SEC USD ACC</t>
  </si>
  <si>
    <t>INVESCO EQQQ NASDAQ 100 ETF ACC</t>
  </si>
  <si>
    <t>INVESCO FIN S&amp;P US SELSECT USD ACC</t>
  </si>
  <si>
    <t>INVESCO HEALTH S&amp;P US SEL UCITS ETF</t>
  </si>
  <si>
    <t>INVESCO S&amp;P 500 UCITS ETF</t>
  </si>
  <si>
    <t>INVESCO UTILITY SP US SEC USD ACC</t>
  </si>
  <si>
    <t>Ishares CORE S&amp;P 500 USD ACC</t>
  </si>
  <si>
    <t>ISHARES S&amp;P 500 IT SECTOR USD ACC</t>
  </si>
  <si>
    <t>ISHARES S&amp;P500 ENERG SECT UCITS ETF</t>
  </si>
  <si>
    <t>ISHARES S&amp;P500 INDUSTRIAL USD ACC</t>
  </si>
  <si>
    <t>ISHARES SP500 CONS DISC SEC USD ACC</t>
  </si>
  <si>
    <t>PASSIM STRUCTURED FUNDS PLC</t>
  </si>
  <si>
    <t>CAD</t>
  </si>
  <si>
    <t>VANGUARD EM INDEX FUND USD ACC I+</t>
  </si>
  <si>
    <t>VANGUARD PACIF EX-JAP IN USD ACC I+</t>
  </si>
  <si>
    <t>WELLINGTON STRAT EU EQ FD EUR ACC S</t>
  </si>
  <si>
    <t>ARCUS FUND</t>
  </si>
  <si>
    <t>BLACKROCK CONT EUFLEX USD H ACC D2</t>
  </si>
  <si>
    <t>Alternativos</t>
  </si>
  <si>
    <t>BLACKROCK BANK LOAN-IUSDACC</t>
  </si>
  <si>
    <t>STARWOOD REAL ESTATE INCOME TRUST OFFSHORE</t>
  </si>
  <si>
    <t>CLARION PRIVATE INVESTORS OFFSHORE</t>
  </si>
  <si>
    <t>Hedge Funds</t>
  </si>
  <si>
    <t>AEOLUS PROPERTY CATASTROPHE KEYSTONE</t>
  </si>
  <si>
    <t>BREVAN HOWARD ALPHA STREGEGIES</t>
  </si>
  <si>
    <t>CENTIVA OFFSHORES FUND</t>
  </si>
  <si>
    <t>D.E. SHAW OCULUS INT</t>
  </si>
  <si>
    <t>EDGESREAM NIAS FUND</t>
  </si>
  <si>
    <t>EMERGING OPPORTUNITIES FUND SPC,</t>
  </si>
  <si>
    <t>GOOD HILL MUNICIPAL BOND OPPORTUNITY</t>
  </si>
  <si>
    <t>LAURION CAPITAL LTD</t>
  </si>
  <si>
    <t>LMR MULTI STRATEGY FUND</t>
  </si>
  <si>
    <t>OASIS INVESTMENTS II OFFSHORE FEEDER</t>
  </si>
  <si>
    <t>OASIS INVESTMENTS II US FEEDER LTD</t>
  </si>
  <si>
    <t>ONE WILLIAM STREET CAP OFF</t>
  </si>
  <si>
    <t>QUBE FUND LTD - OMNI CLASS PC2V-EO -</t>
  </si>
  <si>
    <t>ROKOS GLOBAL MACRO FUND</t>
  </si>
  <si>
    <t>SCHONFELD STRATEGIC PARTNERS</t>
  </si>
  <si>
    <t>STABILIS BRIDGE FUND</t>
  </si>
  <si>
    <t>TORUS FEEDER LTD</t>
  </si>
  <si>
    <t>TUDOR BVI GLOBAL FUND</t>
  </si>
  <si>
    <t>TWIN TREE CAPITAL OFFSHORE PARTNERS</t>
  </si>
  <si>
    <t>VOLEON COMPOSITION INT</t>
  </si>
  <si>
    <t>VOLORIDGE FUND LTD</t>
  </si>
  <si>
    <t>VOLORIDGE TRADING AGGRESSIVE FUND</t>
  </si>
  <si>
    <t>WALLEYE OPPORTUNITIES FUND</t>
  </si>
  <si>
    <t>XANTIUM PARTNERS FUND LTD. - OMNI</t>
  </si>
  <si>
    <t>Valor de Mercado</t>
  </si>
  <si>
    <t>Renta fija y Flotante</t>
  </si>
  <si>
    <t>Fondos monetarios</t>
  </si>
  <si>
    <t>Jp Morgan Lux Liquidity</t>
  </si>
  <si>
    <t>Bonos gobiernos</t>
  </si>
  <si>
    <t>US US TREASURY N/B</t>
  </si>
  <si>
    <t>Bonos investment grade</t>
  </si>
  <si>
    <t>Halliburton CO</t>
  </si>
  <si>
    <t>Fortive Corporation</t>
  </si>
  <si>
    <t>Morgan Stanley</t>
  </si>
  <si>
    <t>JPMorgan Chase &amp; Co</t>
  </si>
  <si>
    <t>Glencore Funding LLC Regs</t>
  </si>
  <si>
    <t>Starbucks Corp</t>
  </si>
  <si>
    <t>DELL INT / EMC 4,35</t>
  </si>
  <si>
    <t>Diageo Capital PLC</t>
  </si>
  <si>
    <t>Toyota Motor Credit Corpor</t>
  </si>
  <si>
    <t>BROADCOM INC,</t>
  </si>
  <si>
    <t>HCA INC.</t>
  </si>
  <si>
    <t>AT&amp;T INC</t>
  </si>
  <si>
    <t>Bonos emergentes</t>
  </si>
  <si>
    <t>LENOVO GROUP LIMITED REGS</t>
  </si>
  <si>
    <t>Fondos high yield</t>
  </si>
  <si>
    <t>AEGON EUROPEAN ABS FUND</t>
  </si>
  <si>
    <t>AXA FIIS US SH DUR HI YLD A ACC USD</t>
  </si>
  <si>
    <t>BARINGS GLOBAL SENIOR SECURED BOND</t>
  </si>
  <si>
    <t>ISHARES USD HY CORP USD ACC ETF</t>
  </si>
  <si>
    <t>M&amp;G LUX INVESTMENT FUNDS 1 - M&amp;G LU</t>
  </si>
  <si>
    <t>Fondos emergentes</t>
  </si>
  <si>
    <t>BEL CANTO FI LATAM+ B USD ACC</t>
  </si>
  <si>
    <t>GL EVOLUTION FRONT MKT I ACC USD</t>
  </si>
  <si>
    <t>NEUBERG SH DUR EM MK DBT I ACC USD
I</t>
  </si>
  <si>
    <t>Fondos USA</t>
  </si>
  <si>
    <t>BEL CANTO USEQ BEST IDEAS A USD ACC</t>
  </si>
  <si>
    <t>INVESCO QQQ TRUST SERIES 1</t>
  </si>
  <si>
    <t>INVESCO S&amp;P 500 EQUAL WEIGHT ETF</t>
  </si>
  <si>
    <t>SPDR S&amp;P 500 ETF TRUST</t>
  </si>
  <si>
    <t>VANGUARD SP 500 ETF</t>
  </si>
  <si>
    <t>Fondos Europa</t>
  </si>
  <si>
    <t>DB X-TRACK.MSCI EUROPE IDX.UCITS</t>
  </si>
  <si>
    <t>MFS MERID EUROP VAL I1 ACC USD HGD</t>
  </si>
  <si>
    <t>ISHARES EDGE MIN VOL EMERG MKTS ETF</t>
  </si>
  <si>
    <t>ISHARES MSCI EMERGING MARKETS ETF</t>
  </si>
  <si>
    <t>Fondos alternativos</t>
  </si>
  <si>
    <t>DNCA INVEST - ALPHA BONDS</t>
  </si>
  <si>
    <t>Bonar</t>
  </si>
  <si>
    <t>LAURION DIVERSIF ABSOLUTE RTN B USD</t>
  </si>
  <si>
    <t>IOR</t>
  </si>
  <si>
    <t>MONETARIA USD - 76334</t>
  </si>
  <si>
    <t>usd</t>
  </si>
  <si>
    <t>Bonos</t>
  </si>
  <si>
    <t>TREASURY BILL 04/09/2025</t>
  </si>
  <si>
    <t>US TREASURY N/B 3,75000 30/04/202</t>
  </si>
  <si>
    <t>De la compra y ventas de estos bonos/renta fija y variable; y pago de cupon surgen lo que es la transferencia de Inversiones No corrientes a Inversiones corrientes. Es decir, estos instrumentos financieros se convierten en efectivo.</t>
  </si>
  <si>
    <t>Y de la diferencia de los valores de cotizaciones surge la diferencia de cambio.</t>
  </si>
  <si>
    <t>ISIN</t>
  </si>
  <si>
    <t>CH0011292379</t>
  </si>
  <si>
    <t>LU2008207461</t>
  </si>
  <si>
    <t>IE00BMXTP46</t>
  </si>
  <si>
    <t>IE00BFMN8962</t>
  </si>
  <si>
    <t>IE00B7FP6X30</t>
  </si>
  <si>
    <t>IE0009ZVRLQ9</t>
  </si>
  <si>
    <t>MIX 30 USD - 101226</t>
  </si>
  <si>
    <t>Asiento contable</t>
  </si>
  <si>
    <t>Cuentas</t>
  </si>
  <si>
    <t>Nombre</t>
  </si>
  <si>
    <t>CC</t>
  </si>
  <si>
    <t>Detalle</t>
  </si>
  <si>
    <t>D</t>
  </si>
  <si>
    <t>C</t>
  </si>
  <si>
    <t>Texto</t>
  </si>
  <si>
    <t>122.30.01</t>
  </si>
  <si>
    <t>Inversiones Exterior no corrientes</t>
  </si>
  <si>
    <t>98-00</t>
  </si>
  <si>
    <t>Gral. Varios</t>
  </si>
  <si>
    <t>Transferencia a inv.no ctes 07/25</t>
  </si>
  <si>
    <t>Diferencia de cotización 07/25</t>
  </si>
  <si>
    <t>Diferencia de cambio 07/25</t>
  </si>
  <si>
    <t>111.22.01</t>
  </si>
  <si>
    <t>Bancos del Exterior</t>
  </si>
  <si>
    <t>813.00.01</t>
  </si>
  <si>
    <t>Diferencia de cotizacion</t>
  </si>
  <si>
    <t>98-02</t>
  </si>
  <si>
    <t>Inversiones extranjeras</t>
  </si>
  <si>
    <t>Inversiones exterior no corrientes 07/25</t>
  </si>
  <si>
    <t>CASH</t>
  </si>
  <si>
    <t>Banco</t>
  </si>
  <si>
    <t>Cta N°</t>
  </si>
  <si>
    <t>Movimientos</t>
  </si>
  <si>
    <t>Total USD</t>
  </si>
  <si>
    <t>Pictet</t>
  </si>
  <si>
    <t>Cuentas corrientes</t>
  </si>
  <si>
    <t>W-538001.002.00.USD</t>
  </si>
  <si>
    <t>Saldo Inicial</t>
  </si>
  <si>
    <t xml:space="preserve"> USD common</t>
  </si>
  <si>
    <t>Ventas de activos</t>
  </si>
  <si>
    <t>Compra  de activos</t>
  </si>
  <si>
    <t>Comisiones / gastos de gestión</t>
  </si>
  <si>
    <t>Transferencias de otras cuentas (por ejemplo de Balanz a Pictet)</t>
  </si>
  <si>
    <t>JPMorgan</t>
  </si>
  <si>
    <t>G67117004</t>
  </si>
  <si>
    <t>US DOLLAR JPM DEPOSIT SWEEP</t>
  </si>
  <si>
    <t>Intereses ganados</t>
  </si>
  <si>
    <t>Q20251007</t>
  </si>
  <si>
    <t>JPM LI-LIQ LVNAV FD - USD - W</t>
  </si>
  <si>
    <t>SWISS FRANC</t>
  </si>
  <si>
    <t>CHF</t>
  </si>
  <si>
    <t>Ingreso Arancel Alumno</t>
  </si>
  <si>
    <t>cuenta</t>
  </si>
  <si>
    <t>CAPITAL CANADIAN DOLLAR</t>
  </si>
  <si>
    <t>CAPITAL CANADIAN DOLLAR - compras</t>
  </si>
  <si>
    <t>CAPITAL CANADIAN DOLLAR - ventas</t>
  </si>
  <si>
    <t>CAPITAL CANADIAN DOLLAR - intereses</t>
  </si>
  <si>
    <t>CAPITAL CANADIAN DOLLAR  - diferencia de cambio</t>
  </si>
  <si>
    <t>CAPITAL POUND STERLING</t>
  </si>
  <si>
    <t>CAPITAL POUND STERLING - compras</t>
  </si>
  <si>
    <t>CAPITAL POUND STERLING - ventas</t>
  </si>
  <si>
    <t>CAPITAL POUND STERLING - intereses</t>
  </si>
  <si>
    <t>CAPITAL POUND STERLING - diferencia de cambio</t>
  </si>
  <si>
    <t>CAPITAL U.S. DOLLAR</t>
  </si>
  <si>
    <t>CAPITAL U.S. DOLLAR - compras</t>
  </si>
  <si>
    <t>CAPITAL U.S. DOLLAR - ventas</t>
  </si>
  <si>
    <t>CAPITAL U.S. DOLLAR - intereses</t>
  </si>
  <si>
    <t>CAPITAL U.S. DOLLAR - diferencia de cambio</t>
  </si>
  <si>
    <t>CAPITAL U.S. DOLLAR - comisiones</t>
  </si>
  <si>
    <t>CAPITAL EURO</t>
  </si>
  <si>
    <t>CAPITAL EURO - compras</t>
  </si>
  <si>
    <t>CAPITAL EURO -ventas</t>
  </si>
  <si>
    <t>CAPITAL EURO - intereses</t>
  </si>
  <si>
    <t>CAPITAL EURO - diferencia de cambio</t>
  </si>
  <si>
    <t>Compra-Venta Titulos</t>
  </si>
  <si>
    <t>Transferencia entre cuentas</t>
  </si>
  <si>
    <t>intereses títulos transferencia inversiones</t>
  </si>
  <si>
    <t>Visa Corporativa</t>
  </si>
  <si>
    <t>(se contabiliza antes que cierre el mes)</t>
  </si>
  <si>
    <t>Pagos</t>
  </si>
  <si>
    <t>(se contabilizan desde la op)</t>
  </si>
  <si>
    <t>Comisiones</t>
  </si>
  <si>
    <t>Euros</t>
  </si>
  <si>
    <t>diferencia de cambio</t>
  </si>
  <si>
    <t>transferencias GP</t>
  </si>
  <si>
    <t>Pago tasa</t>
  </si>
  <si>
    <t xml:space="preserve">Dif de cambio + intereses 07-2025	</t>
  </si>
  <si>
    <t>821.00.06</t>
  </si>
  <si>
    <t>Comisiones bancarias</t>
  </si>
  <si>
    <t>Bancos del Exterior 07-2025</t>
  </si>
  <si>
    <t xml:space="preserve">	Comisiones 07-2025</t>
  </si>
  <si>
    <t>812.00.03</t>
  </si>
  <si>
    <t>Intereses inversiones exterior</t>
  </si>
  <si>
    <t>CASH -SANTANDER</t>
  </si>
  <si>
    <t xml:space="preserve">DDA CUSTODIAL CASH ACCOUNTS </t>
  </si>
  <si>
    <t>MANAGED PORTFOLIO CASH ACCOUNTS</t>
  </si>
  <si>
    <t>Compras de activos</t>
  </si>
  <si>
    <t>Transferencia interna</t>
  </si>
  <si>
    <t>Dividendos</t>
  </si>
  <si>
    <t>INVERSIONES NO CORRIENTES - SANTANDER</t>
  </si>
  <si>
    <t>98-04</t>
  </si>
  <si>
    <t>Inversiones Fundraising</t>
  </si>
  <si>
    <t xml:space="preserve">	Dif de cotizacion + Dif de cambio 07/2025 + Intereses 07/202</t>
  </si>
  <si>
    <t>Fundraising 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</si>
</sst>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&quot;$&quot;\ \-#,##0.00"/>
    <numFmt numFmtId="164" formatCode="#,##0.00000"/>
    <numFmt numFmtId="165" formatCode="0.0000"/>
    <numFmt numFmtId="166" formatCode="#,##0.000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b/>
      <sz val="10"/>
      <color theme="1"/>
      <name val="Roboto"/>
    </font>
    <font>
      <sz val="10"/>
      <color theme="1"/>
      <name val="Roboto"/>
    </font>
    <font>
      <sz val="8"/>
      <color theme="1"/>
      <name val="Roboto"/>
    </font>
    <font>
      <sz val="10"/>
      <color rgb="FFFFFFFF"/>
      <name val="Roboto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Roboto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9"/>
      <color rgb="FF21212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02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4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14" fontId="6" fillId="7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0" fillId="9" borderId="0" xfId="1" applyFont="1" applyFill="1"/>
    <xf numFmtId="0" fontId="3" fillId="0" borderId="0" xfId="1"/>
    <xf numFmtId="0" fontId="11" fillId="0" borderId="0" xfId="1" applyFont="1"/>
    <xf numFmtId="14" fontId="9" fillId="0" borderId="0" xfId="1" applyNumberFormat="1" applyFont="1"/>
    <xf numFmtId="0" fontId="9" fillId="0" borderId="0" xfId="1" applyFont="1"/>
    <xf numFmtId="0" fontId="9" fillId="0" borderId="0" xfId="1" applyFont="1" applyAlignment="1">
      <alignment horizontal="center"/>
    </xf>
    <xf numFmtId="8" fontId="3" fillId="0" borderId="0" xfId="1" applyNumberFormat="1"/>
    <xf numFmtId="4" fontId="3" fillId="0" borderId="0" xfId="1" applyNumberFormat="1"/>
    <xf numFmtId="0" fontId="3" fillId="10" borderId="0" xfId="1" applyFill="1"/>
    <xf numFmtId="14" fontId="3" fillId="0" borderId="0" xfId="1" applyNumberFormat="1"/>
    <xf numFmtId="0" fontId="6" fillId="10" borderId="0" xfId="0" applyFont="1" applyFill="1" applyAlignment="1">
      <alignment horizontal="left" vertical="center"/>
    </xf>
    <xf numFmtId="0" fontId="6" fillId="0" borderId="0" xfId="0" applyFont="1" applyAlignment="1">
      <alignment horizontal="right" vertical="center"/>
    </xf>
    <xf numFmtId="1" fontId="6" fillId="0" borderId="0" xfId="0" applyNumberFormat="1" applyFont="1" applyAlignment="1">
      <alignment horizontal="left" vertical="center"/>
    </xf>
    <xf numFmtId="1" fontId="6" fillId="7" borderId="0" xfId="0" applyNumberFormat="1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14" fontId="0" fillId="0" borderId="0" xfId="0" applyNumberFormat="1"/>
    <xf numFmtId="4" fontId="0" fillId="0" borderId="0" xfId="0" applyNumberFormat="1"/>
    <xf numFmtId="14" fontId="9" fillId="0" borderId="0" xfId="0" applyNumberFormat="1" applyFont="1"/>
    <xf numFmtId="14" fontId="6" fillId="0" borderId="0" xfId="0" applyNumberFormat="1" applyFont="1" applyAlignment="1">
      <alignment vertical="center"/>
    </xf>
    <xf numFmtId="0" fontId="6" fillId="11" borderId="0" xfId="0" applyFont="1" applyFill="1" applyAlignment="1">
      <alignment vertical="center"/>
    </xf>
    <xf numFmtId="164" fontId="0" fillId="0" borderId="0" xfId="0" applyNumberFormat="1"/>
    <xf numFmtId="8" fontId="0" fillId="0" borderId="0" xfId="0" applyNumberFormat="1"/>
    <xf numFmtId="8" fontId="6" fillId="7" borderId="0" xfId="0" applyNumberFormat="1" applyFont="1" applyFill="1" applyAlignment="1">
      <alignment vertical="center"/>
    </xf>
    <xf numFmtId="8" fontId="6" fillId="0" borderId="0" xfId="0" applyNumberFormat="1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1" fillId="0" borderId="0" xfId="2" applyFont="1"/>
    <xf numFmtId="0" fontId="2" fillId="0" borderId="0" xfId="2"/>
    <xf numFmtId="0" fontId="9" fillId="0" borderId="0" xfId="2" applyFont="1" applyAlignment="1">
      <alignment horizontal="center"/>
    </xf>
    <xf numFmtId="4" fontId="9" fillId="0" borderId="0" xfId="2" applyNumberFormat="1" applyFont="1"/>
    <xf numFmtId="0" fontId="9" fillId="0" borderId="0" xfId="2" applyFont="1"/>
    <xf numFmtId="3" fontId="2" fillId="0" borderId="0" xfId="2" applyNumberFormat="1"/>
    <xf numFmtId="2" fontId="2" fillId="0" borderId="0" xfId="2" applyNumberFormat="1"/>
    <xf numFmtId="4" fontId="2" fillId="0" borderId="0" xfId="2" applyNumberFormat="1"/>
    <xf numFmtId="0" fontId="3" fillId="0" borderId="0" xfId="1" applyAlignment="1">
      <alignment horizontal="left" vertical="top" wrapText="1"/>
    </xf>
    <xf numFmtId="0" fontId="3" fillId="0" borderId="0" xfId="1" applyAlignment="1">
      <alignment horizontal="left" wrapText="1"/>
    </xf>
    <xf numFmtId="0" fontId="6" fillId="5" borderId="0" xfId="0" applyFont="1" applyFill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3" fillId="0" borderId="6" xfId="2" applyFont="1" applyBorder="1" applyAlignment="1">
      <alignment horizontal="center"/>
    </xf>
    <xf numFmtId="0" fontId="13" fillId="0" borderId="7" xfId="2" applyFont="1" applyBorder="1" applyAlignment="1">
      <alignment horizontal="center"/>
    </xf>
    <xf numFmtId="0" fontId="13" fillId="0" borderId="8" xfId="2" applyFon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9" xfId="0" applyFill="1" applyBorder="1"/>
    <xf numFmtId="0" fontId="14" fillId="12" borderId="9" xfId="0" applyFont="1" applyFill="1" applyBorder="1"/>
    <xf numFmtId="0" fontId="14" fillId="0" borderId="0" xfId="0" applyFont="1"/>
    <xf numFmtId="0" fontId="9" fillId="0" borderId="9" xfId="3" applyFont="1" applyBorder="1" applyAlignment="1">
      <alignment horizontal="center"/>
    </xf>
    <xf numFmtId="0" fontId="1" fillId="0" borderId="0" xfId="3"/>
    <xf numFmtId="0" fontId="9" fillId="0" borderId="9" xfId="3" applyFont="1" applyBorder="1"/>
    <xf numFmtId="0" fontId="9" fillId="0" borderId="0" xfId="3" applyFont="1"/>
    <xf numFmtId="0" fontId="9" fillId="0" borderId="0" xfId="3" applyFont="1" applyAlignment="1">
      <alignment horizontal="center"/>
    </xf>
    <xf numFmtId="0" fontId="1" fillId="13" borderId="0" xfId="3" applyFill="1"/>
    <xf numFmtId="0" fontId="1" fillId="12" borderId="9" xfId="3" applyFill="1" applyBorder="1" applyAlignment="1">
      <alignment horizontal="center"/>
    </xf>
    <xf numFmtId="0" fontId="1" fillId="12" borderId="9" xfId="3" applyFill="1" applyBorder="1"/>
    <xf numFmtId="0" fontId="14" fillId="12" borderId="9" xfId="3" applyFont="1" applyFill="1" applyBorder="1"/>
    <xf numFmtId="17" fontId="1" fillId="0" borderId="0" xfId="3" applyNumberFormat="1"/>
    <xf numFmtId="4" fontId="1" fillId="0" borderId="0" xfId="3" applyNumberFormat="1"/>
    <xf numFmtId="0" fontId="15" fillId="0" borderId="0" xfId="3" applyFont="1"/>
    <xf numFmtId="0" fontId="13" fillId="0" borderId="6" xfId="3" applyFont="1" applyBorder="1" applyAlignment="1">
      <alignment horizontal="center"/>
    </xf>
    <xf numFmtId="0" fontId="13" fillId="0" borderId="7" xfId="3" applyFont="1" applyBorder="1" applyAlignment="1">
      <alignment horizontal="center"/>
    </xf>
    <xf numFmtId="0" fontId="13" fillId="0" borderId="8" xfId="3" applyFont="1" applyBorder="1" applyAlignment="1">
      <alignment horizontal="center"/>
    </xf>
    <xf numFmtId="0" fontId="1" fillId="0" borderId="0" xfId="3" quotePrefix="1"/>
    <xf numFmtId="0" fontId="13" fillId="0" borderId="0" xfId="3" applyFont="1" applyAlignment="1">
      <alignment horizontal="center"/>
    </xf>
    <xf numFmtId="0" fontId="13" fillId="0" borderId="9" xfId="3" applyFont="1" applyBorder="1" applyAlignment="1">
      <alignment horizontal="center"/>
    </xf>
    <xf numFmtId="4" fontId="9" fillId="0" borderId="0" xfId="3" applyNumberFormat="1" applyFont="1"/>
    <xf numFmtId="3" fontId="1" fillId="0" borderId="0" xfId="3" applyNumberFormat="1"/>
    <xf numFmtId="165" fontId="1" fillId="0" borderId="0" xfId="3" applyNumberFormat="1"/>
    <xf numFmtId="166" fontId="1" fillId="0" borderId="0" xfId="3" applyNumberFormat="1"/>
  </cellXfs>
  <cellStyles count="4">
    <cellStyle name="Normal" xfId="0" builtinId="0"/>
    <cellStyle name="Normal 2" xfId="1" xr:uid="{9012AB44-E2F0-41DC-A29D-83F26DB13382}"/>
    <cellStyle name="Normal 3" xfId="2" xr:uid="{245FF6E5-EC60-4BC6-B43F-7C368866E4D8}"/>
    <cellStyle name="Normal 4" xfId="3" xr:uid="{D6FC28A6-F5EA-4C0A-AE5B-401CF9CA1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10825" cy="7029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tabSelected="1" workbookViewId="0"/>
  </sheetViews>
  <sheetFormatPr baseColWidth="10" defaultColWidth="14.42578125" defaultRowHeight="15" customHeight="1" x14ac:dyDescent="0.25"/>
  <cols>
    <col min="1" max="1" width="66.42578125" customWidth="1"/>
    <col min="2" max="2" width="26.42578125" customWidth="1"/>
  </cols>
  <sheetData>
    <row r="1" spans="1:26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2</v>
      </c>
      <c r="B2" s="5" t="s">
        <v>160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 t="s">
        <v>3</v>
      </c>
      <c r="B3" s="5" t="s">
        <v>160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 t="s">
        <v>4</v>
      </c>
      <c r="B4" s="5" t="s">
        <v>160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 t="s">
        <v>5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 t="s">
        <v>6</v>
      </c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 t="s">
        <v>7</v>
      </c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 t="s">
        <v>8</v>
      </c>
      <c r="B8" s="5" t="s">
        <v>160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6" t="s">
        <v>9</v>
      </c>
      <c r="B10" s="7" t="s">
        <v>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4" t="s">
        <v>10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 t="s">
        <v>11</v>
      </c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 t="s">
        <v>12</v>
      </c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 t="s">
        <v>7</v>
      </c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 t="s">
        <v>8</v>
      </c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dataValidations count="1">
    <dataValidation type="list" allowBlank="1" showErrorMessage="1" sqref="B2:B8 B11:B15" xr:uid="{00000000-0002-0000-0000-000000000000}">
      <formula1>"Completado ,No completado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42578125" defaultRowHeight="1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0EF1-5D08-48DB-B8C0-9E3DDA99AD55}">
  <dimension ref="A1:M35"/>
  <sheetViews>
    <sheetView topLeftCell="A14" zoomScale="80" zoomScaleNormal="80" workbookViewId="0">
      <selection activeCell="B36" sqref="B36"/>
    </sheetView>
  </sheetViews>
  <sheetFormatPr baseColWidth="10" defaultRowHeight="15" x14ac:dyDescent="0.25"/>
  <cols>
    <col min="1" max="1" width="18.140625" style="32" customWidth="1"/>
    <col min="2" max="2" width="15" style="32" customWidth="1"/>
    <col min="3" max="3" width="24.140625" style="32" customWidth="1"/>
    <col min="4" max="4" width="40.42578125" style="32" bestFit="1" customWidth="1"/>
    <col min="5" max="6" width="15" style="32" bestFit="1" customWidth="1"/>
    <col min="7" max="7" width="12.5703125" style="32" bestFit="1" customWidth="1"/>
    <col min="8" max="9" width="11.42578125" style="32"/>
    <col min="10" max="10" width="12.5703125" style="32" bestFit="1" customWidth="1"/>
    <col min="11" max="12" width="11.42578125" style="32"/>
    <col min="13" max="13" width="14" style="32" bestFit="1" customWidth="1"/>
    <col min="14" max="16384" width="11.42578125" style="32"/>
  </cols>
  <sheetData>
    <row r="1" spans="1:8" ht="18.75" x14ac:dyDescent="0.3">
      <c r="A1" s="31" t="s">
        <v>161</v>
      </c>
    </row>
    <row r="2" spans="1:8" x14ac:dyDescent="0.25">
      <c r="A2" s="32" t="s">
        <v>162</v>
      </c>
    </row>
    <row r="3" spans="1:8" x14ac:dyDescent="0.25">
      <c r="A3" s="32" t="s">
        <v>163</v>
      </c>
    </row>
    <row r="4" spans="1:8" x14ac:dyDescent="0.25">
      <c r="A4" s="32" t="s">
        <v>164</v>
      </c>
    </row>
    <row r="5" spans="1:8" x14ac:dyDescent="0.25">
      <c r="A5" s="32" t="s">
        <v>165</v>
      </c>
    </row>
    <row r="7" spans="1:8" x14ac:dyDescent="0.25">
      <c r="A7" s="33" t="s">
        <v>166</v>
      </c>
    </row>
    <row r="8" spans="1:8" x14ac:dyDescent="0.25">
      <c r="A8" s="34">
        <v>45806</v>
      </c>
      <c r="B8" s="35" t="s">
        <v>167</v>
      </c>
      <c r="C8" s="35"/>
      <c r="D8" s="36" t="s">
        <v>168</v>
      </c>
      <c r="E8" s="32" t="s">
        <v>169</v>
      </c>
      <c r="F8" s="32" t="s">
        <v>170</v>
      </c>
    </row>
    <row r="9" spans="1:8" x14ac:dyDescent="0.25">
      <c r="A9" s="32" t="s">
        <v>171</v>
      </c>
      <c r="B9" s="32" t="s">
        <v>172</v>
      </c>
      <c r="E9" s="37">
        <v>12100</v>
      </c>
      <c r="G9" s="38"/>
    </row>
    <row r="10" spans="1:8" x14ac:dyDescent="0.25">
      <c r="C10" s="32" t="s">
        <v>173</v>
      </c>
      <c r="D10" s="32" t="s">
        <v>174</v>
      </c>
      <c r="F10" s="37">
        <v>12100</v>
      </c>
      <c r="H10" s="38"/>
    </row>
    <row r="12" spans="1:8" x14ac:dyDescent="0.25">
      <c r="A12" s="34">
        <v>45806</v>
      </c>
      <c r="B12" s="35" t="s">
        <v>175</v>
      </c>
      <c r="C12" s="35"/>
      <c r="D12" s="35"/>
    </row>
    <row r="13" spans="1:8" x14ac:dyDescent="0.25">
      <c r="A13" s="32" t="s">
        <v>176</v>
      </c>
      <c r="B13" s="32" t="s">
        <v>177</v>
      </c>
      <c r="E13" s="37">
        <v>12050</v>
      </c>
    </row>
    <row r="14" spans="1:8" x14ac:dyDescent="0.25">
      <c r="C14" s="32" t="s">
        <v>171</v>
      </c>
      <c r="D14" s="32" t="s">
        <v>172</v>
      </c>
      <c r="F14" s="37">
        <v>12050</v>
      </c>
    </row>
    <row r="16" spans="1:8" x14ac:dyDescent="0.25">
      <c r="A16" s="34">
        <v>45807</v>
      </c>
      <c r="B16" s="35" t="s">
        <v>178</v>
      </c>
      <c r="G16" s="32" t="s">
        <v>179</v>
      </c>
    </row>
    <row r="17" spans="1:13" x14ac:dyDescent="0.25">
      <c r="A17" s="32" t="s">
        <v>180</v>
      </c>
      <c r="B17" s="32" t="s">
        <v>181</v>
      </c>
      <c r="E17" s="37">
        <f>10*1150</f>
        <v>11500</v>
      </c>
      <c r="G17" s="32" t="s">
        <v>182</v>
      </c>
      <c r="J17" s="38"/>
    </row>
    <row r="18" spans="1:13" x14ac:dyDescent="0.25">
      <c r="C18" s="32" t="s">
        <v>176</v>
      </c>
      <c r="D18" s="32" t="s">
        <v>177</v>
      </c>
      <c r="F18" s="37">
        <f>10*1150</f>
        <v>11500</v>
      </c>
    </row>
    <row r="20" spans="1:13" x14ac:dyDescent="0.25">
      <c r="A20" s="34">
        <v>45807</v>
      </c>
      <c r="B20" s="35" t="s">
        <v>183</v>
      </c>
      <c r="G20" s="67" t="s">
        <v>184</v>
      </c>
      <c r="H20" s="67"/>
      <c r="I20" s="67"/>
      <c r="J20" s="67"/>
      <c r="K20" s="67"/>
      <c r="L20" s="67"/>
      <c r="M20" s="67"/>
    </row>
    <row r="21" spans="1:13" x14ac:dyDescent="0.25">
      <c r="A21" s="32" t="s">
        <v>185</v>
      </c>
      <c r="B21" s="32" t="s">
        <v>186</v>
      </c>
      <c r="E21" s="37">
        <f>+E13-E17</f>
        <v>550</v>
      </c>
      <c r="G21" s="67"/>
      <c r="H21" s="67"/>
      <c r="I21" s="67"/>
      <c r="J21" s="67"/>
      <c r="K21" s="67"/>
      <c r="L21" s="67"/>
      <c r="M21" s="67"/>
    </row>
    <row r="22" spans="1:13" x14ac:dyDescent="0.25">
      <c r="C22" s="32" t="s">
        <v>176</v>
      </c>
      <c r="D22" s="32" t="s">
        <v>177</v>
      </c>
      <c r="F22" s="37">
        <f>+F14-F18</f>
        <v>550</v>
      </c>
      <c r="M22" s="37"/>
    </row>
    <row r="24" spans="1:13" x14ac:dyDescent="0.25">
      <c r="B24" s="39" t="s">
        <v>187</v>
      </c>
      <c r="C24" s="39"/>
      <c r="D24" s="39"/>
    </row>
    <row r="25" spans="1:13" x14ac:dyDescent="0.25">
      <c r="B25" s="33" t="s">
        <v>188</v>
      </c>
    </row>
    <row r="26" spans="1:13" x14ac:dyDescent="0.25">
      <c r="A26" s="34">
        <v>45807</v>
      </c>
      <c r="B26" s="35" t="s">
        <v>189</v>
      </c>
      <c r="G26" s="68" t="s">
        <v>190</v>
      </c>
      <c r="H26" s="68"/>
      <c r="I26" s="68"/>
      <c r="J26" s="68"/>
      <c r="K26" s="68"/>
      <c r="L26" s="68"/>
      <c r="M26" s="68"/>
    </row>
    <row r="27" spans="1:13" x14ac:dyDescent="0.25">
      <c r="A27" s="32" t="s">
        <v>191</v>
      </c>
      <c r="B27" s="32" t="s">
        <v>192</v>
      </c>
      <c r="E27" s="37">
        <f>10*1140</f>
        <v>11400</v>
      </c>
      <c r="G27" s="68"/>
      <c r="H27" s="68"/>
      <c r="I27" s="68"/>
      <c r="J27" s="68"/>
      <c r="K27" s="68"/>
      <c r="L27" s="68"/>
      <c r="M27" s="68"/>
    </row>
    <row r="28" spans="1:13" x14ac:dyDescent="0.25">
      <c r="A28" s="32" t="s">
        <v>193</v>
      </c>
      <c r="B28" s="32" t="s">
        <v>186</v>
      </c>
      <c r="E28" s="37">
        <f>+F29-E27</f>
        <v>100</v>
      </c>
    </row>
    <row r="29" spans="1:13" x14ac:dyDescent="0.25">
      <c r="C29" s="32" t="s">
        <v>180</v>
      </c>
      <c r="D29" s="32" t="s">
        <v>181</v>
      </c>
      <c r="F29" s="37">
        <f>+E17</f>
        <v>11500</v>
      </c>
    </row>
    <row r="31" spans="1:13" x14ac:dyDescent="0.25">
      <c r="F31" s="38"/>
    </row>
    <row r="32" spans="1:13" x14ac:dyDescent="0.25">
      <c r="A32" s="40">
        <v>45807</v>
      </c>
      <c r="B32" s="33" t="s">
        <v>194</v>
      </c>
      <c r="F32" s="38"/>
      <c r="G32" s="68" t="s">
        <v>195</v>
      </c>
      <c r="H32" s="68"/>
      <c r="I32" s="68"/>
      <c r="J32" s="68"/>
      <c r="K32" s="68"/>
      <c r="L32" s="68"/>
      <c r="M32" s="68"/>
    </row>
    <row r="33" spans="1:13" x14ac:dyDescent="0.25">
      <c r="A33" s="32" t="s">
        <v>196</v>
      </c>
      <c r="B33" s="32" t="s">
        <v>197</v>
      </c>
      <c r="F33" s="38"/>
      <c r="G33" s="68"/>
      <c r="H33" s="68"/>
      <c r="I33" s="68"/>
      <c r="J33" s="68"/>
      <c r="K33" s="68"/>
      <c r="L33" s="68"/>
      <c r="M33" s="68"/>
    </row>
    <row r="34" spans="1:13" x14ac:dyDescent="0.25">
      <c r="A34" s="32" t="s">
        <v>193</v>
      </c>
      <c r="B34" s="32" t="s">
        <v>186</v>
      </c>
      <c r="E34" s="37">
        <f>10*1150</f>
        <v>11500</v>
      </c>
      <c r="F34" s="38"/>
    </row>
    <row r="35" spans="1:13" x14ac:dyDescent="0.25">
      <c r="C35" s="32" t="s">
        <v>180</v>
      </c>
      <c r="D35" s="32" t="s">
        <v>181</v>
      </c>
      <c r="F35" s="37">
        <f>+E34</f>
        <v>11500</v>
      </c>
    </row>
  </sheetData>
  <mergeCells count="3">
    <mergeCell ref="G20:M21"/>
    <mergeCell ref="G26:M27"/>
    <mergeCell ref="G32:M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22"/>
  <sheetViews>
    <sheetView topLeftCell="A28" workbookViewId="0">
      <selection activeCell="D9" sqref="D9"/>
    </sheetView>
  </sheetViews>
  <sheetFormatPr baseColWidth="10" defaultColWidth="14.42578125" defaultRowHeight="15" customHeight="1" x14ac:dyDescent="0.25"/>
  <cols>
    <col min="1" max="1" width="28.7109375" customWidth="1"/>
    <col min="2" max="3" width="24" customWidth="1"/>
    <col min="4" max="4" width="32.5703125" customWidth="1"/>
    <col min="5" max="27" width="8.7109375" customWidth="1"/>
  </cols>
  <sheetData>
    <row r="1" spans="1:27" x14ac:dyDescent="0.25">
      <c r="A1" s="8" t="s">
        <v>13</v>
      </c>
      <c r="B1" s="8" t="s">
        <v>14</v>
      </c>
      <c r="C1" s="8" t="s">
        <v>15</v>
      </c>
      <c r="D1" s="8" t="s">
        <v>16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x14ac:dyDescent="0.25">
      <c r="A2" s="9" t="s">
        <v>17</v>
      </c>
      <c r="B2" s="9" t="s">
        <v>18</v>
      </c>
      <c r="C2" s="9"/>
      <c r="D2" s="9" t="s">
        <v>19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9"/>
      <c r="B3" s="9"/>
      <c r="C3" s="9" t="s">
        <v>20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x14ac:dyDescent="0.25">
      <c r="A4" s="9" t="s">
        <v>21</v>
      </c>
      <c r="B4" s="9" t="s">
        <v>22</v>
      </c>
      <c r="C4" s="9"/>
      <c r="D4" s="9" t="s">
        <v>23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x14ac:dyDescent="0.25">
      <c r="A5" s="9"/>
      <c r="B5" s="9"/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25">
      <c r="A6" s="9" t="s">
        <v>25</v>
      </c>
      <c r="B6" s="9" t="s">
        <v>26</v>
      </c>
      <c r="C6" s="9"/>
      <c r="D6" s="9" t="s">
        <v>27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x14ac:dyDescent="0.25">
      <c r="A7" s="9"/>
      <c r="B7" s="9"/>
      <c r="C7" s="9" t="s">
        <v>28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x14ac:dyDescent="0.25">
      <c r="A8" s="9" t="s">
        <v>29</v>
      </c>
      <c r="B8" s="9" t="s">
        <v>30</v>
      </c>
      <c r="C8" s="9"/>
      <c r="D8" s="9" t="s">
        <v>198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A9" s="9"/>
      <c r="B9" s="9"/>
      <c r="C9" s="9" t="s">
        <v>32</v>
      </c>
      <c r="D9" s="9"/>
      <c r="E9" s="9"/>
      <c r="F9" s="9"/>
      <c r="G9" s="9"/>
      <c r="H9" s="9"/>
      <c r="I9" s="9"/>
      <c r="J9" s="9"/>
      <c r="K9" s="9">
        <f>178+330</f>
        <v>508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/>
      <c r="B10" s="9"/>
      <c r="C10" s="9" t="s">
        <v>33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/>
      <c r="B11" s="9"/>
      <c r="C11" s="9" t="s">
        <v>34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/>
      <c r="B12" s="9"/>
      <c r="C12" s="9" t="s">
        <v>35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A13" s="9"/>
      <c r="B13" s="9"/>
      <c r="C13" s="9" t="s">
        <v>36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/>
      <c r="B14" s="9"/>
      <c r="C14" s="9" t="s">
        <v>37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25">
      <c r="A15" s="9"/>
      <c r="B15" s="9"/>
      <c r="C15" s="9" t="s">
        <v>38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25">
      <c r="A17" s="10" t="s">
        <v>39</v>
      </c>
      <c r="B17" s="10" t="s">
        <v>40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5">
      <c r="A18" s="9"/>
      <c r="B18" s="9"/>
      <c r="C18" s="11" t="s">
        <v>41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x14ac:dyDescent="0.25">
      <c r="A19" s="9"/>
      <c r="B19" s="9"/>
      <c r="C19" s="11" t="s">
        <v>42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25">
      <c r="A20" s="9" t="s">
        <v>43</v>
      </c>
      <c r="B20" s="9" t="s">
        <v>44</v>
      </c>
      <c r="C20" s="9"/>
      <c r="D20" s="9" t="s">
        <v>45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25">
      <c r="A21" s="9" t="s">
        <v>46</v>
      </c>
      <c r="B21" s="9" t="s">
        <v>47</v>
      </c>
      <c r="C21" s="9"/>
      <c r="D21" s="9" t="s">
        <v>48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9" t="s">
        <v>49</v>
      </c>
      <c r="B22" s="9" t="s">
        <v>50</v>
      </c>
      <c r="C22" s="9"/>
      <c r="D22" s="9" t="s">
        <v>51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 t="s">
        <v>52</v>
      </c>
      <c r="B23" s="9" t="s">
        <v>47</v>
      </c>
      <c r="C23" s="9"/>
      <c r="D23" s="9" t="s">
        <v>53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 t="s">
        <v>54</v>
      </c>
      <c r="B24" s="9" t="s">
        <v>47</v>
      </c>
      <c r="C24" s="9"/>
      <c r="D24" s="9" t="s">
        <v>55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 t="s">
        <v>56</v>
      </c>
      <c r="B25" s="9" t="s">
        <v>57</v>
      </c>
      <c r="C25" s="9"/>
      <c r="D25" s="9" t="s">
        <v>58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 t="s">
        <v>59</v>
      </c>
      <c r="B26" s="9" t="s">
        <v>57</v>
      </c>
      <c r="C26" s="9"/>
      <c r="D26" s="9" t="s">
        <v>60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9" t="s">
        <v>61</v>
      </c>
      <c r="B27" s="9" t="s">
        <v>30</v>
      </c>
      <c r="C27" s="9"/>
      <c r="D27" s="9" t="s">
        <v>62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9"/>
      <c r="B28" s="9"/>
      <c r="C28" s="9" t="s">
        <v>63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25">
      <c r="A29" s="9"/>
      <c r="B29" s="9"/>
      <c r="C29" s="9" t="s">
        <v>64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x14ac:dyDescent="0.25">
      <c r="A30" s="9"/>
      <c r="B30" s="9"/>
      <c r="C30" s="9" t="s">
        <v>65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x14ac:dyDescent="0.25">
      <c r="A31" s="9"/>
      <c r="B31" s="9"/>
      <c r="C31" s="9" t="s">
        <v>66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x14ac:dyDescent="0.25">
      <c r="A32" s="9"/>
      <c r="B32" s="9"/>
      <c r="C32" s="9" t="s">
        <v>67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x14ac:dyDescent="0.25">
      <c r="A33" s="9" t="s">
        <v>68</v>
      </c>
      <c r="B33" s="9" t="s">
        <v>30</v>
      </c>
      <c r="C33" s="9"/>
      <c r="D33" s="9" t="s">
        <v>69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x14ac:dyDescent="0.25">
      <c r="A34" s="9" t="s">
        <v>70</v>
      </c>
      <c r="B34" s="9" t="s">
        <v>71</v>
      </c>
      <c r="C34" s="9"/>
      <c r="D34" s="9" t="s">
        <v>72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x14ac:dyDescent="0.25">
      <c r="A35" s="9" t="s">
        <v>73</v>
      </c>
      <c r="B35" s="9" t="s">
        <v>71</v>
      </c>
      <c r="C35" s="9" t="s">
        <v>74</v>
      </c>
      <c r="D35" s="9" t="s">
        <v>75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x14ac:dyDescent="0.25">
      <c r="A36" s="9"/>
      <c r="B36" s="9"/>
      <c r="C36" s="9" t="s">
        <v>76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x14ac:dyDescent="0.25">
      <c r="A37" s="9"/>
      <c r="B37" s="9"/>
      <c r="C37" s="9" t="s">
        <v>77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x14ac:dyDescent="0.25">
      <c r="A38" s="9"/>
      <c r="B38" s="9"/>
      <c r="C38" s="9" t="s">
        <v>78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x14ac:dyDescent="0.25">
      <c r="A39" s="11" t="s">
        <v>79</v>
      </c>
      <c r="B39" s="11" t="s">
        <v>57</v>
      </c>
      <c r="C39" s="11" t="s">
        <v>74</v>
      </c>
      <c r="D39" s="11" t="s">
        <v>80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x14ac:dyDescent="0.25">
      <c r="A40" s="11" t="s">
        <v>81</v>
      </c>
      <c r="B40" s="11" t="s">
        <v>57</v>
      </c>
      <c r="C40" s="11" t="s">
        <v>74</v>
      </c>
      <c r="D40" s="11" t="s">
        <v>60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x14ac:dyDescent="0.25">
      <c r="A41" s="11" t="s">
        <v>82</v>
      </c>
      <c r="B41" s="11" t="s">
        <v>47</v>
      </c>
      <c r="C41" s="11" t="s">
        <v>74</v>
      </c>
      <c r="D41" s="11" t="s">
        <v>83</v>
      </c>
      <c r="E41" s="9" t="s">
        <v>84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 x14ac:dyDescent="0.25">
      <c r="A42" s="11" t="s">
        <v>85</v>
      </c>
      <c r="B42" s="11" t="s">
        <v>47</v>
      </c>
      <c r="C42" s="11" t="s">
        <v>74</v>
      </c>
      <c r="D42" s="11" t="s">
        <v>86</v>
      </c>
      <c r="E42" s="9" t="s">
        <v>84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.75" customHeight="1" x14ac:dyDescent="0.25">
      <c r="A43" s="11" t="s">
        <v>87</v>
      </c>
      <c r="B43" s="11" t="s">
        <v>47</v>
      </c>
      <c r="C43" s="11" t="s">
        <v>74</v>
      </c>
      <c r="D43" s="11" t="s">
        <v>88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customHeight="1" x14ac:dyDescent="0.25">
      <c r="A44" s="9" t="s">
        <v>89</v>
      </c>
      <c r="B44" s="9" t="s">
        <v>90</v>
      </c>
      <c r="C44" s="9"/>
      <c r="D44" s="9" t="s">
        <v>91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.75" customHeight="1" x14ac:dyDescent="0.25">
      <c r="A45" s="9" t="s">
        <v>92</v>
      </c>
      <c r="B45" s="9" t="s">
        <v>90</v>
      </c>
      <c r="C45" s="9"/>
      <c r="D45" s="9" t="s">
        <v>93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.75" customHeight="1" x14ac:dyDescent="0.25">
      <c r="A46" s="9" t="s">
        <v>94</v>
      </c>
      <c r="B46" s="9" t="s">
        <v>95</v>
      </c>
      <c r="C46" s="9"/>
      <c r="D46" s="9" t="s">
        <v>96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.75" customHeight="1" x14ac:dyDescent="0.25">
      <c r="A48" s="9" t="s">
        <v>97</v>
      </c>
      <c r="B48" s="9" t="s">
        <v>98</v>
      </c>
      <c r="C48" s="9"/>
      <c r="D48" s="9" t="s">
        <v>99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.75" customHeight="1" x14ac:dyDescent="0.25">
      <c r="A49" s="9" t="s">
        <v>100</v>
      </c>
      <c r="B49" s="9" t="s">
        <v>101</v>
      </c>
      <c r="C49" s="9"/>
      <c r="D49" s="9" t="s">
        <v>102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5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.75" customHeight="1" x14ac:dyDescent="0.25">
      <c r="A53" s="9" t="s">
        <v>103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.7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.7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.7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.7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.7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.7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.7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.7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5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5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5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5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5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5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5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5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5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5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5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5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5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5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5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5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5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5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5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5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5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5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5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5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5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5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5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5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5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5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5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5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5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5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5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5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5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5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5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5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5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5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5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5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5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5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5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5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5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5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5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5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5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5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5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5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5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5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5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5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5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5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5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5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.7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.7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.7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.7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.7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.7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.7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.7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.7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.7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.7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.7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.7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.7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.7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.7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.7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.7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.7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.7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.7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.7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.7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.7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.7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.7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.7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.7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5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5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5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5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5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5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5.75" customHeight="1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5.75" customHeight="1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5.75" customHeight="1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5.75" customHeight="1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5.75" customHeight="1" x14ac:dyDescent="0.2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5.75" customHeight="1" x14ac:dyDescent="0.2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5.75" customHeight="1" x14ac:dyDescent="0.2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5.75" customHeight="1" x14ac:dyDescent="0.25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5.75" customHeight="1" x14ac:dyDescent="0.25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5.75" customHeight="1" x14ac:dyDescent="0.25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5.75" customHeight="1" x14ac:dyDescent="0.25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5.75" customHeight="1" x14ac:dyDescent="0.25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5.75" customHeight="1" x14ac:dyDescent="0.25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5.75" customHeight="1" x14ac:dyDescent="0.25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5.75" customHeight="1" x14ac:dyDescent="0.2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5.75" customHeight="1" x14ac:dyDescent="0.25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5.75" customHeight="1" x14ac:dyDescent="0.25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5.75" customHeight="1" x14ac:dyDescent="0.25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5.75" customHeight="1" x14ac:dyDescent="0.25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5.75" customHeight="1" x14ac:dyDescent="0.25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5.75" customHeight="1" x14ac:dyDescent="0.25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5.75" customHeight="1" x14ac:dyDescent="0.25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showGridLines="0" workbookViewId="0"/>
  </sheetViews>
  <sheetFormatPr baseColWidth="10" defaultColWidth="14.42578125" defaultRowHeight="15" customHeight="1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G1003"/>
  <sheetViews>
    <sheetView zoomScale="80" zoomScaleNormal="80" workbookViewId="0">
      <selection activeCell="A51" sqref="A51:I71"/>
    </sheetView>
  </sheetViews>
  <sheetFormatPr baseColWidth="10" defaultColWidth="14.42578125" defaultRowHeight="15" customHeight="1" x14ac:dyDescent="0.25"/>
  <cols>
    <col min="1" max="1" width="60.5703125" customWidth="1"/>
    <col min="2" max="2" width="33" customWidth="1"/>
    <col min="3" max="3" width="24" customWidth="1"/>
    <col min="4" max="4" width="32.5703125" customWidth="1"/>
    <col min="5" max="5" width="22.85546875" customWidth="1"/>
    <col min="6" max="8" width="23" customWidth="1"/>
    <col min="9" max="9" width="25.28515625" customWidth="1"/>
    <col min="10" max="10" width="13.28515625" customWidth="1"/>
    <col min="11" max="11" width="32.5703125" customWidth="1"/>
    <col min="12" max="12" width="11" customWidth="1"/>
    <col min="13" max="33" width="8.7109375" customWidth="1"/>
  </cols>
  <sheetData>
    <row r="1" spans="1:33" x14ac:dyDescent="0.25">
      <c r="A1" s="12" t="s">
        <v>13</v>
      </c>
      <c r="B1" s="12" t="s">
        <v>14</v>
      </c>
      <c r="C1" s="12" t="s">
        <v>15</v>
      </c>
      <c r="D1" s="12" t="s">
        <v>16</v>
      </c>
      <c r="E1" s="13"/>
      <c r="F1" s="13"/>
      <c r="G1" s="13"/>
      <c r="H1" s="12" t="s">
        <v>13</v>
      </c>
      <c r="I1" s="12" t="s">
        <v>14</v>
      </c>
      <c r="J1" s="12" t="s">
        <v>15</v>
      </c>
      <c r="K1" s="12" t="s">
        <v>16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x14ac:dyDescent="0.25">
      <c r="A2" s="14" t="s">
        <v>17</v>
      </c>
      <c r="B2" s="14" t="s">
        <v>18</v>
      </c>
      <c r="C2" s="14"/>
      <c r="D2" s="14" t="s">
        <v>19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x14ac:dyDescent="0.25">
      <c r="A3" s="14"/>
      <c r="B3" s="14"/>
      <c r="C3" s="14" t="s">
        <v>20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x14ac:dyDescent="0.25">
      <c r="A4" s="14" t="s">
        <v>21</v>
      </c>
      <c r="B4" s="14" t="s">
        <v>22</v>
      </c>
      <c r="C4" s="14"/>
      <c r="D4" s="14" t="s">
        <v>104</v>
      </c>
      <c r="E4" s="14" t="s">
        <v>23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x14ac:dyDescent="0.25">
      <c r="A5" s="14"/>
      <c r="B5" s="14"/>
      <c r="C5" s="14" t="s">
        <v>24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 x14ac:dyDescent="0.25">
      <c r="A6" s="14" t="s">
        <v>25</v>
      </c>
      <c r="B6" s="14" t="s">
        <v>26</v>
      </c>
      <c r="C6" s="14"/>
      <c r="D6" s="14" t="s">
        <v>105</v>
      </c>
      <c r="E6" s="14" t="s">
        <v>199</v>
      </c>
      <c r="F6" s="14" t="s">
        <v>200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x14ac:dyDescent="0.25">
      <c r="A7" s="14"/>
      <c r="B7" s="14"/>
      <c r="C7" s="14" t="s">
        <v>28</v>
      </c>
      <c r="D7" s="14"/>
      <c r="E7" s="14"/>
      <c r="F7" s="14" t="s">
        <v>201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x14ac:dyDescent="0.25">
      <c r="A8" s="14" t="s">
        <v>29</v>
      </c>
      <c r="B8" s="14" t="s">
        <v>30</v>
      </c>
      <c r="C8" s="14"/>
      <c r="D8" s="14" t="s">
        <v>32</v>
      </c>
      <c r="E8" s="14"/>
      <c r="F8" s="14" t="s">
        <v>202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x14ac:dyDescent="0.25">
      <c r="A9" s="14"/>
      <c r="B9" s="14"/>
      <c r="C9" s="15" t="s">
        <v>32</v>
      </c>
      <c r="D9" s="14"/>
      <c r="E9" s="14"/>
      <c r="F9" s="14" t="s">
        <v>203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x14ac:dyDescent="0.25">
      <c r="A10" s="14" t="s">
        <v>106</v>
      </c>
      <c r="B10" s="14"/>
      <c r="C10" s="15"/>
      <c r="D10" s="14" t="s">
        <v>107</v>
      </c>
      <c r="E10" s="14"/>
      <c r="F10" s="14" t="s">
        <v>204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x14ac:dyDescent="0.25">
      <c r="A11" s="14"/>
      <c r="B11" s="14"/>
      <c r="C11" s="15"/>
      <c r="D11" s="14" t="s">
        <v>108</v>
      </c>
      <c r="E11" s="14"/>
      <c r="F11" s="14" t="s">
        <v>205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x14ac:dyDescent="0.25">
      <c r="A12" s="14"/>
      <c r="B12" s="14"/>
      <c r="C12" s="15"/>
      <c r="D12" s="14"/>
      <c r="E12" s="14"/>
      <c r="F12" s="14" t="s">
        <v>206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x14ac:dyDescent="0.25">
      <c r="A13" s="16" t="s">
        <v>39</v>
      </c>
      <c r="B13" s="16" t="s">
        <v>109</v>
      </c>
      <c r="C13" s="17" t="s">
        <v>41</v>
      </c>
      <c r="D13" s="16"/>
      <c r="E13" s="14"/>
      <c r="F13" s="16" t="s">
        <v>207</v>
      </c>
      <c r="G13" s="16"/>
      <c r="H13" s="16" t="s">
        <v>39</v>
      </c>
      <c r="I13" s="16" t="s">
        <v>110</v>
      </c>
      <c r="J13" s="17" t="s">
        <v>41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x14ac:dyDescent="0.25">
      <c r="A14" s="14"/>
      <c r="B14" s="14"/>
      <c r="C14" s="14"/>
      <c r="D14" s="14"/>
      <c r="E14" s="14"/>
      <c r="F14" s="14" t="s">
        <v>208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x14ac:dyDescent="0.25">
      <c r="A15" s="18" t="s">
        <v>107</v>
      </c>
      <c r="B15" s="19"/>
      <c r="C15" s="19"/>
      <c r="D15" s="19"/>
      <c r="E15" s="16"/>
      <c r="F15" s="14" t="s">
        <v>209</v>
      </c>
      <c r="G15" s="14"/>
      <c r="H15" s="18" t="s">
        <v>108</v>
      </c>
      <c r="I15" s="19"/>
      <c r="J15" s="19"/>
      <c r="K15" s="19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x14ac:dyDescent="0.25">
      <c r="A16" s="14"/>
      <c r="B16" s="14"/>
      <c r="C16" s="14"/>
      <c r="D16" s="14"/>
      <c r="E16" s="14"/>
      <c r="F16" s="14" t="s">
        <v>210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x14ac:dyDescent="0.25">
      <c r="A17" s="14" t="s">
        <v>111</v>
      </c>
      <c r="B17" s="14" t="s">
        <v>44</v>
      </c>
      <c r="C17" s="14"/>
      <c r="D17" s="20" t="s">
        <v>45</v>
      </c>
      <c r="E17" s="14"/>
      <c r="F17" s="14"/>
      <c r="G17" s="14"/>
      <c r="H17" s="14" t="s">
        <v>111</v>
      </c>
      <c r="I17" s="14" t="s">
        <v>44</v>
      </c>
      <c r="J17" s="14"/>
      <c r="K17" s="14" t="s">
        <v>45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x14ac:dyDescent="0.25">
      <c r="A18" s="14" t="s">
        <v>112</v>
      </c>
      <c r="B18" s="14" t="s">
        <v>47</v>
      </c>
      <c r="C18" s="14"/>
      <c r="D18" s="20">
        <v>1000</v>
      </c>
      <c r="E18" s="14"/>
      <c r="F18" s="14"/>
      <c r="G18" s="14"/>
      <c r="H18" s="14" t="s">
        <v>112</v>
      </c>
      <c r="I18" s="14" t="s">
        <v>47</v>
      </c>
      <c r="J18" s="14"/>
      <c r="K18" s="14" t="s">
        <v>48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x14ac:dyDescent="0.25">
      <c r="A19" s="41" t="s">
        <v>211</v>
      </c>
      <c r="B19" s="14" t="s">
        <v>57</v>
      </c>
      <c r="C19" s="14"/>
      <c r="D19" s="21">
        <v>45672</v>
      </c>
      <c r="E19" s="14"/>
      <c r="F19" s="14"/>
      <c r="G19" s="14"/>
      <c r="H19" s="14" t="s">
        <v>56</v>
      </c>
      <c r="I19" s="14" t="s">
        <v>57</v>
      </c>
      <c r="J19" s="14"/>
      <c r="K19" s="14" t="s">
        <v>58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x14ac:dyDescent="0.25">
      <c r="A20" s="41" t="s">
        <v>220</v>
      </c>
      <c r="B20" s="14" t="s">
        <v>57</v>
      </c>
      <c r="C20" s="14"/>
      <c r="D20" s="21">
        <v>45702</v>
      </c>
      <c r="E20" s="14"/>
      <c r="F20" s="14"/>
      <c r="G20" s="14"/>
      <c r="H20" s="14" t="s">
        <v>59</v>
      </c>
      <c r="I20" s="14" t="s">
        <v>57</v>
      </c>
      <c r="J20" s="14"/>
      <c r="K20" s="14" t="s">
        <v>60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x14ac:dyDescent="0.25">
      <c r="A21" s="14" t="s">
        <v>221</v>
      </c>
      <c r="B21" s="43">
        <f>+_xlfn.DAYS(D20,D19)</f>
        <v>30</v>
      </c>
      <c r="C21" s="14"/>
      <c r="D21" s="44">
        <f>+_xlfn.DAYS(D20,D19)</f>
        <v>30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x14ac:dyDescent="0.25">
      <c r="A22" s="14" t="s">
        <v>113</v>
      </c>
      <c r="B22" s="14" t="s">
        <v>71</v>
      </c>
      <c r="C22" s="14"/>
      <c r="D22" s="44">
        <v>126</v>
      </c>
      <c r="E22" s="14"/>
      <c r="F22" s="14"/>
      <c r="G22" s="14"/>
      <c r="H22" s="14" t="s">
        <v>113</v>
      </c>
      <c r="I22" s="14" t="s">
        <v>71</v>
      </c>
      <c r="J22" s="14"/>
      <c r="K22" s="14" t="s">
        <v>72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x14ac:dyDescent="0.25">
      <c r="A23" s="17" t="s">
        <v>82</v>
      </c>
      <c r="B23" s="17" t="s">
        <v>47</v>
      </c>
      <c r="C23" s="17" t="s">
        <v>74</v>
      </c>
      <c r="D23" s="20"/>
      <c r="E23" s="14" t="s">
        <v>84</v>
      </c>
      <c r="F23" s="14"/>
      <c r="G23" s="14"/>
      <c r="H23" s="17" t="s">
        <v>82</v>
      </c>
      <c r="I23" s="17" t="s">
        <v>47</v>
      </c>
      <c r="J23" s="17" t="s">
        <v>74</v>
      </c>
      <c r="K23" s="17" t="s">
        <v>83</v>
      </c>
      <c r="L23" s="14" t="s">
        <v>84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15.75" customHeight="1" x14ac:dyDescent="0.25">
      <c r="A24" s="17" t="s">
        <v>85</v>
      </c>
      <c r="B24" s="17" t="s">
        <v>47</v>
      </c>
      <c r="C24" s="17" t="s">
        <v>74</v>
      </c>
      <c r="D24" s="20">
        <f>+ROUND(D22/100/365*D21*D18,2)</f>
        <v>103.56</v>
      </c>
      <c r="E24" s="14" t="s">
        <v>84</v>
      </c>
      <c r="F24" s="14"/>
      <c r="G24" s="14"/>
      <c r="H24" s="17" t="s">
        <v>85</v>
      </c>
      <c r="I24" s="17" t="s">
        <v>47</v>
      </c>
      <c r="J24" s="17" t="s">
        <v>74</v>
      </c>
      <c r="K24" s="17" t="s">
        <v>86</v>
      </c>
      <c r="L24" s="14" t="s">
        <v>84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15.75" customHeight="1" x14ac:dyDescent="0.25">
      <c r="A25" s="14" t="s">
        <v>89</v>
      </c>
      <c r="B25" s="14" t="s">
        <v>90</v>
      </c>
      <c r="C25" s="14"/>
      <c r="D25" s="20" t="s">
        <v>212</v>
      </c>
      <c r="E25" s="14" t="s">
        <v>213</v>
      </c>
      <c r="F25" s="14"/>
      <c r="G25" s="14"/>
      <c r="H25" s="14" t="s">
        <v>89</v>
      </c>
      <c r="I25" s="14" t="s">
        <v>90</v>
      </c>
      <c r="J25" s="14"/>
      <c r="K25" s="14" t="s">
        <v>91</v>
      </c>
      <c r="L25" s="14" t="s">
        <v>114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15.75" customHeight="1" x14ac:dyDescent="0.25">
      <c r="A26" s="14" t="s">
        <v>92</v>
      </c>
      <c r="B26" s="14" t="s">
        <v>90</v>
      </c>
      <c r="C26" s="14"/>
      <c r="D26" s="20" t="s">
        <v>214</v>
      </c>
      <c r="E26" s="14" t="s">
        <v>215</v>
      </c>
      <c r="F26" s="14"/>
      <c r="G26" s="14"/>
      <c r="H26" s="14" t="s">
        <v>92</v>
      </c>
      <c r="I26" s="14" t="s">
        <v>90</v>
      </c>
      <c r="J26" s="14"/>
      <c r="K26" s="14" t="s">
        <v>93</v>
      </c>
      <c r="L26" s="14" t="s">
        <v>114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15.75" customHeight="1" x14ac:dyDescent="0.25">
      <c r="A27" s="14" t="s">
        <v>115</v>
      </c>
      <c r="B27" s="14" t="s">
        <v>90</v>
      </c>
      <c r="C27" s="14"/>
      <c r="D27" s="20" t="s">
        <v>214</v>
      </c>
      <c r="E27" s="14" t="s">
        <v>215</v>
      </c>
      <c r="F27" s="14"/>
      <c r="G27" s="14"/>
      <c r="H27" s="14" t="s">
        <v>115</v>
      </c>
      <c r="I27" s="14" t="s">
        <v>90</v>
      </c>
      <c r="J27" s="14"/>
      <c r="K27" s="20"/>
      <c r="L27" s="14" t="s">
        <v>114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15.75" customHeight="1" x14ac:dyDescent="0.25">
      <c r="A28" s="14"/>
      <c r="B28" s="14"/>
      <c r="C28" s="14"/>
      <c r="D28" s="20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15.75" customHeight="1" x14ac:dyDescent="0.25">
      <c r="A29" s="14"/>
      <c r="B29" s="14"/>
      <c r="C29" s="14"/>
      <c r="D29" s="20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15.75" customHeight="1" x14ac:dyDescent="0.25">
      <c r="A30" s="14" t="s">
        <v>97</v>
      </c>
      <c r="B30" s="14" t="s">
        <v>98</v>
      </c>
      <c r="C30" s="14"/>
      <c r="D30" s="20" t="s">
        <v>99</v>
      </c>
      <c r="E30" s="14"/>
      <c r="F30" s="14"/>
      <c r="G30" s="14"/>
      <c r="H30" s="14" t="s">
        <v>97</v>
      </c>
      <c r="I30" s="14" t="s">
        <v>98</v>
      </c>
      <c r="J30" s="14"/>
      <c r="K30" s="14" t="s">
        <v>99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15.75" customHeight="1" x14ac:dyDescent="0.25">
      <c r="A31" s="14" t="s">
        <v>100</v>
      </c>
      <c r="B31" s="14" t="s">
        <v>101</v>
      </c>
      <c r="C31" s="14"/>
      <c r="D31" s="20" t="s">
        <v>102</v>
      </c>
      <c r="E31" s="14"/>
      <c r="F31" s="14"/>
      <c r="G31" s="14"/>
      <c r="H31" s="14" t="s">
        <v>100</v>
      </c>
      <c r="I31" s="14" t="s">
        <v>101</v>
      </c>
      <c r="J31" s="14"/>
      <c r="K31" s="14" t="s">
        <v>102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5.75" customHeight="1" x14ac:dyDescent="0.25">
      <c r="A33" s="69" t="s">
        <v>116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1:33" ht="27" customHeight="1" x14ac:dyDescent="0.25">
      <c r="A34" s="70"/>
      <c r="B34" s="16"/>
      <c r="C34" s="16"/>
      <c r="D34" s="16"/>
      <c r="E34" s="16"/>
      <c r="F34" s="16"/>
      <c r="G34" s="16"/>
      <c r="H34" s="14" t="s">
        <v>117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spans="1:33" ht="15.75" customHeight="1" x14ac:dyDescent="0.25">
      <c r="A35" s="22" t="s">
        <v>118</v>
      </c>
      <c r="B35" s="16"/>
      <c r="C35" s="16"/>
      <c r="D35" s="16"/>
      <c r="E35" s="16"/>
      <c r="F35" s="16"/>
      <c r="G35" s="16"/>
      <c r="H35" s="14" t="s">
        <v>119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spans="1:33" ht="15.75" customHeight="1" x14ac:dyDescent="0.25">
      <c r="A36" s="16" t="s">
        <v>120</v>
      </c>
      <c r="B36" s="16" t="s">
        <v>121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1:33" ht="15.75" customHeight="1" x14ac:dyDescent="0.25">
      <c r="A37" s="20" t="s">
        <v>122</v>
      </c>
      <c r="B37" s="21">
        <v>45672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15.75" customHeight="1" x14ac:dyDescent="0.25">
      <c r="A38" t="s">
        <v>212</v>
      </c>
      <c r="B38" t="s">
        <v>213</v>
      </c>
      <c r="C38" s="42">
        <f>+D18</f>
        <v>1000</v>
      </c>
      <c r="E38" s="71" t="s">
        <v>124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15.75" customHeight="1" x14ac:dyDescent="0.25">
      <c r="A39" s="14"/>
      <c r="B39" t="s">
        <v>216</v>
      </c>
      <c r="C39" t="s">
        <v>217</v>
      </c>
      <c r="E39" s="7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15.75" customHeight="1" x14ac:dyDescent="0.25">
      <c r="A40" s="14"/>
      <c r="B40" s="14"/>
      <c r="C40" s="14"/>
      <c r="D40" s="42">
        <v>1000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15.75" customHeight="1" x14ac:dyDescent="0.25">
      <c r="A41" s="14"/>
      <c r="B41" s="21">
        <v>45703</v>
      </c>
      <c r="C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15.75" customHeight="1" x14ac:dyDescent="0.25">
      <c r="A42" s="14" t="s">
        <v>216</v>
      </c>
      <c r="B42" s="14" t="s">
        <v>217</v>
      </c>
      <c r="C42" s="14">
        <f>+D43+D44</f>
        <v>1103.56</v>
      </c>
      <c r="E42" s="71" t="s">
        <v>218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15.75" customHeight="1" x14ac:dyDescent="0.25">
      <c r="A43" s="14"/>
      <c r="B43" s="14" t="s">
        <v>212</v>
      </c>
      <c r="C43" s="14" t="s">
        <v>213</v>
      </c>
      <c r="D43">
        <f>+D18</f>
        <v>1000</v>
      </c>
      <c r="E43" s="7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15.75" customHeight="1" x14ac:dyDescent="0.25">
      <c r="A44" s="14"/>
      <c r="B44" s="14" t="s">
        <v>214</v>
      </c>
      <c r="C44" s="14" t="s">
        <v>215</v>
      </c>
      <c r="D44">
        <f>+D24</f>
        <v>103.56</v>
      </c>
      <c r="E44" s="7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ht="15.75" customHeight="1" x14ac:dyDescent="0.25">
      <c r="A45" s="14"/>
      <c r="B45" s="14"/>
      <c r="C45" s="14"/>
      <c r="E45" s="7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ht="15.75" customHeight="1" x14ac:dyDescent="0.25">
      <c r="A47" s="14" t="s">
        <v>219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15.75" customHeight="1" x14ac:dyDescent="0.25">
      <c r="A48" s="14" t="s">
        <v>222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15.75" customHeight="1" x14ac:dyDescent="0.25">
      <c r="A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15.75" customHeight="1" x14ac:dyDescent="0.25">
      <c r="A50" s="45" t="s">
        <v>245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ht="15.75" customHeight="1" x14ac:dyDescent="0.25">
      <c r="A51" t="s">
        <v>246</v>
      </c>
      <c r="B51" t="s">
        <v>247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ht="15.75" customHeight="1" x14ac:dyDescent="0.25">
      <c r="A52" t="s">
        <v>248</v>
      </c>
      <c r="B52" t="s">
        <v>249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15.75" customHeight="1" x14ac:dyDescent="0.25">
      <c r="A53" t="s">
        <v>250</v>
      </c>
      <c r="B53" t="s">
        <v>251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ht="15.75" customHeight="1" x14ac:dyDescent="0.25"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ht="15.75" customHeight="1" x14ac:dyDescent="0.25">
      <c r="A55" t="s">
        <v>57</v>
      </c>
      <c r="B55" s="46">
        <v>45792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ht="15.75" customHeight="1" x14ac:dyDescent="0.25">
      <c r="A56" t="s">
        <v>252</v>
      </c>
      <c r="B56" t="s">
        <v>123</v>
      </c>
      <c r="D56" t="s">
        <v>253</v>
      </c>
      <c r="E56" t="s">
        <v>254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ht="15.75" customHeight="1" x14ac:dyDescent="0.25">
      <c r="A57" t="s">
        <v>255</v>
      </c>
      <c r="B57">
        <v>1000</v>
      </c>
      <c r="D57" t="s">
        <v>256</v>
      </c>
      <c r="E57">
        <v>126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ht="15.75" customHeight="1" x14ac:dyDescent="0.25">
      <c r="A58" t="s">
        <v>257</v>
      </c>
      <c r="B58">
        <v>1100</v>
      </c>
      <c r="D58" t="s">
        <v>258</v>
      </c>
      <c r="E58" s="47">
        <f>+B57*E57/100/365*B59</f>
        <v>103.56164383561644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ht="15.75" customHeight="1" x14ac:dyDescent="0.25">
      <c r="A59" t="s">
        <v>259</v>
      </c>
      <c r="B59">
        <v>30</v>
      </c>
      <c r="D59" t="s">
        <v>260</v>
      </c>
      <c r="E59" s="46">
        <f>+B55+B59</f>
        <v>45822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ht="15.75" customHeight="1" x14ac:dyDescent="0.25"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ht="15.75" customHeight="1" x14ac:dyDescent="0.25"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ht="15.75" customHeight="1" x14ac:dyDescent="0.25">
      <c r="A62" s="48">
        <v>45792</v>
      </c>
      <c r="B62" t="s">
        <v>261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1:33" ht="15.75" customHeight="1" x14ac:dyDescent="0.25">
      <c r="A63" t="s">
        <v>246</v>
      </c>
      <c r="B63" t="s">
        <v>247</v>
      </c>
      <c r="E63" s="47">
        <f>+B57*B58</f>
        <v>1100000</v>
      </c>
      <c r="F63" s="47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1:33" ht="15.75" customHeight="1" x14ac:dyDescent="0.25">
      <c r="C64" t="s">
        <v>262</v>
      </c>
      <c r="D64" t="s">
        <v>263</v>
      </c>
      <c r="F64" s="47">
        <f>+E63</f>
        <v>1100000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1:33" ht="15.75" customHeight="1" x14ac:dyDescent="0.25"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ht="15.75" customHeight="1" x14ac:dyDescent="0.25">
      <c r="A66" s="48">
        <v>45822</v>
      </c>
      <c r="B66" t="s">
        <v>264</v>
      </c>
      <c r="G66" t="s">
        <v>257</v>
      </c>
      <c r="H66">
        <v>1135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15.75" customHeight="1" x14ac:dyDescent="0.25">
      <c r="A67" t="s">
        <v>262</v>
      </c>
      <c r="B67" t="s">
        <v>263</v>
      </c>
      <c r="E67" s="47">
        <f>+SUM(B57,E58)*H66</f>
        <v>1252542.4657534247</v>
      </c>
      <c r="F67" s="47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ht="15.75" customHeight="1" x14ac:dyDescent="0.25">
      <c r="C68" t="s">
        <v>214</v>
      </c>
      <c r="D68" t="s">
        <v>215</v>
      </c>
      <c r="E68" s="47"/>
      <c r="F68" s="47">
        <f>+E58*H66</f>
        <v>117542.46575342465</v>
      </c>
      <c r="H68" s="47"/>
      <c r="I68" s="47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15.75" customHeight="1" x14ac:dyDescent="0.25">
      <c r="C69" t="s">
        <v>193</v>
      </c>
      <c r="D69" t="s">
        <v>186</v>
      </c>
      <c r="E69" s="47"/>
      <c r="F69" s="47">
        <f>+B57*(H66-B58)</f>
        <v>35000</v>
      </c>
      <c r="H69" s="47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ht="15.75" customHeight="1" x14ac:dyDescent="0.25">
      <c r="C70" t="s">
        <v>246</v>
      </c>
      <c r="D70" t="s">
        <v>247</v>
      </c>
      <c r="E70" s="47"/>
      <c r="F70" s="47">
        <f>+E63</f>
        <v>1100000</v>
      </c>
      <c r="H70" s="47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ht="15.75" customHeight="1" x14ac:dyDescent="0.25"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1:33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1:33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1:33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1:33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1:33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1:33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1:33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1:33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1:33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1:33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1:33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1:33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1:33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1:33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1:33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1:33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1:33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1:33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1:33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1:33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1:33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1:33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1:33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1:33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1:33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1:33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spans="1:33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spans="1:33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spans="1:33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spans="1:33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spans="1:33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spans="1:33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spans="1:33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spans="1:33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spans="1:33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spans="1:33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spans="1:33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spans="1:33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spans="1:33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spans="1:33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1:33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spans="1:33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spans="1:33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spans="1:33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spans="1:33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spans="1:33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spans="1:33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spans="1:33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spans="1:33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spans="1:33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spans="1:33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spans="1:33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spans="1:33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spans="1:33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spans="1:33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spans="1:33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spans="1:33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spans="1:33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spans="1:33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spans="1:33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spans="1:33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spans="1:33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spans="1:33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spans="1:33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spans="1:33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spans="1:33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spans="1:33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spans="1:33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spans="1:33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spans="1:33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spans="1:33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spans="1:33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spans="1:33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spans="1:33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spans="1:33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spans="1:33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spans="1:33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spans="1:33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spans="1:33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spans="1:33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spans="1:33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spans="1:33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spans="1:33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spans="1:33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spans="1:33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spans="1:33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spans="1:33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1:33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1:33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spans="1:33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spans="1:33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1:33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spans="1:33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spans="1:33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spans="1:33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spans="1:33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spans="1:33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spans="1:33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spans="1:33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spans="1:33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1:33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spans="1:33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spans="1:33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spans="1:33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spans="1:33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spans="1:33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spans="1:33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spans="1:33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spans="1:33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spans="1:33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spans="1:33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spans="1:33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spans="1:33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spans="1:33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spans="1:33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spans="1:33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spans="1:33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spans="1:33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spans="1:33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spans="1:33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spans="1:33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spans="1:33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spans="1:33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spans="1:33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spans="1:33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spans="1:33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spans="1:33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spans="1:33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spans="1:33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spans="1:33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spans="1:33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spans="1:33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spans="1:33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spans="1:33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spans="1:33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spans="1:33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spans="1:33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spans="1:33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spans="1:33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spans="1:33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spans="1:33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spans="1:33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spans="1:33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spans="1:33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spans="1:33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spans="1:33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spans="1:33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spans="1:33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spans="1:33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spans="1:33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spans="1:33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spans="1:33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spans="1:33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spans="1:33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spans="1:33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spans="1:33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spans="1:33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spans="1:33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spans="1:33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spans="1:33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spans="1:33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spans="1:33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spans="1:33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spans="1:33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spans="1:33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spans="1:33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spans="1:33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spans="1:33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spans="1:33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spans="1:33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spans="1:33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spans="1:33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spans="1:33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spans="1:33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spans="1:33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spans="1:33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spans="1:33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spans="1:33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spans="1:33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spans="1:33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spans="1:33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spans="1:33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spans="1:33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spans="1:33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spans="1:33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spans="1:33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spans="1:33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spans="1:33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spans="1:33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spans="1:33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spans="1:33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spans="1:33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spans="1:33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spans="1:33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spans="1:33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spans="1:33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spans="1:33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spans="1:33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spans="1:33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spans="1:33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spans="1:33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spans="1:33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spans="1:33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spans="1:33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spans="1:33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spans="1:33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spans="1:33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spans="1:33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spans="1:33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spans="1:33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spans="1:33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spans="1:33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spans="1:33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spans="1:33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spans="1:33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spans="1:33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spans="1:33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spans="1:33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spans="1:33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spans="1:33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spans="1:33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spans="1:33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spans="1:33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spans="1:33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spans="1:33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spans="1:33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spans="1:33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spans="1:33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spans="1:33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spans="1:33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spans="1:33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spans="1:33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spans="1:33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spans="1:33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spans="1:33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spans="1:33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spans="1:33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spans="1:33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spans="1:33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spans="1:33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spans="1:33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spans="1:33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spans="1:33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spans="1:33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spans="1:33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spans="1:33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spans="1:33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spans="1:33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spans="1:33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spans="1:33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spans="1:33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spans="1:33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spans="1:33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spans="1:33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spans="1:33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spans="1:33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spans="1:33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spans="1:33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spans="1:33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spans="1:33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spans="1:33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spans="1:33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spans="1:33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spans="1:33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spans="1:33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spans="1:33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spans="1:33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spans="1:33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spans="1:33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spans="1:33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spans="1:33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spans="1:33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spans="1:33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spans="1:33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spans="1:33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spans="1:33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spans="1:33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spans="1:33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spans="1:33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spans="1:33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spans="1:33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spans="1:33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spans="1:33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spans="1:33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spans="1:33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spans="1:33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spans="1:33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spans="1:33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spans="1:33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spans="1:33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spans="1:33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spans="1:33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spans="1:33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spans="1:33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spans="1:33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spans="1:33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spans="1:33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spans="1:33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spans="1:33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spans="1:33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spans="1:33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spans="1:33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spans="1:33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spans="1:33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spans="1:33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spans="1:33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spans="1:33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spans="1:33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spans="1:33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spans="1:33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spans="1:33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spans="1:33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spans="1:33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spans="1:33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spans="1:33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spans="1:33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spans="1:33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spans="1:33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spans="1:33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spans="1:33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spans="1:33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spans="1:33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spans="1:33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spans="1:33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spans="1:33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spans="1:33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spans="1:33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spans="1:33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spans="1:33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spans="1:33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spans="1:33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spans="1:33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spans="1:33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spans="1:33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spans="1:33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spans="1:33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spans="1:33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spans="1:33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spans="1:33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spans="1:33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spans="1:33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spans="1:33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spans="1:33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spans="1:33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spans="1:33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spans="1:33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spans="1:33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spans="1:33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spans="1:33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spans="1:33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spans="1:33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spans="1:33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spans="1:33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spans="1:33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spans="1:33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spans="1:33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spans="1:33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spans="1:33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spans="1:33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spans="1:33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spans="1:33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spans="1:33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spans="1:33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spans="1:33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spans="1:33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spans="1:33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spans="1:33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spans="1:33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spans="1:33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spans="1:33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spans="1:33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spans="1:33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spans="1:33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spans="1:33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spans="1:33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spans="1:33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spans="1:33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spans="1:33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spans="1:33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spans="1:33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spans="1:33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spans="1:33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spans="1:33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spans="1:33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spans="1:33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spans="1:33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spans="1:33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spans="1:33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spans="1:33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spans="1:33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spans="1:33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spans="1:33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spans="1:33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spans="1:33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spans="1:33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spans="1:33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spans="1:33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spans="1:33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spans="1:33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spans="1:33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spans="1:33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spans="1:33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spans="1:33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spans="1:33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spans="1:33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spans="1:33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spans="1:33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spans="1:33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spans="1:33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spans="1:33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spans="1:33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spans="1:33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spans="1:33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spans="1:33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spans="1:33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spans="1:33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spans="1:33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spans="1:33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spans="1:33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spans="1:33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spans="1:33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spans="1:33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spans="1:33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spans="1:33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spans="1:33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spans="1:33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spans="1:33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spans="1:33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spans="1:33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spans="1:33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spans="1:33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spans="1:33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spans="1:33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spans="1:33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spans="1:33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spans="1:33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spans="1:33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spans="1:33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spans="1:33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spans="1:33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spans="1:33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spans="1:33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spans="1:33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spans="1:33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spans="1:33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spans="1:33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spans="1:33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spans="1:33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spans="1:33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spans="1:33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spans="1:33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spans="1:33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spans="1:33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spans="1:33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spans="1:33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spans="1:33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spans="1:33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spans="1:33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spans="1:33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spans="1:33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spans="1:33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spans="1:33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spans="1:33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spans="1:33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spans="1:33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spans="1:33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spans="1:33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spans="1:33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spans="1:33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spans="1:33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spans="1:33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spans="1:33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spans="1:33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spans="1:33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spans="1:33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spans="1:33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spans="1:33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spans="1:33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spans="1:33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spans="1:33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spans="1:33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spans="1:33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spans="1:33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spans="1:33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spans="1:33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spans="1:33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spans="1:33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spans="1:33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spans="1:33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spans="1:33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spans="1:33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spans="1:33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spans="1:33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spans="1:33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spans="1:33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spans="1:33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spans="1:33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spans="1:33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spans="1:33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spans="1:33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spans="1:33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spans="1:33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spans="1:33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spans="1:33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spans="1:33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spans="1:33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spans="1:33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spans="1:33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spans="1:33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spans="1:33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spans="1:33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spans="1:33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spans="1:33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spans="1:33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spans="1:33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spans="1:33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spans="1:33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spans="1:33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spans="1:33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spans="1:33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spans="1:33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spans="1:33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spans="1:33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spans="1:33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spans="1:33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spans="1:33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spans="1:33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spans="1:33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spans="1:33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spans="1:33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spans="1:33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spans="1:33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spans="1:33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spans="1:33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spans="1:33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spans="1:33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spans="1:33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spans="1:33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spans="1:33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spans="1:33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spans="1:33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spans="1:33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spans="1:33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spans="1:33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spans="1:33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spans="1:33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spans="1:33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spans="1:33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spans="1:33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spans="1:33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spans="1:33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spans="1:33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spans="1:33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spans="1:33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spans="1:33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spans="1:33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spans="1:33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spans="1:33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spans="1:33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spans="1:33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spans="1:33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spans="1:33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spans="1:33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spans="1:33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spans="1:33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spans="1:33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spans="1:33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spans="1:33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spans="1:33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spans="1:33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spans="1:33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spans="1:33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spans="1:33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spans="1:33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spans="1:33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spans="1:33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spans="1:33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spans="1:33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spans="1:33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spans="1:33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spans="1:33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spans="1:33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spans="1:33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spans="1:33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spans="1:33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spans="1:33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spans="1:33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spans="1:33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spans="1:33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spans="1:33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spans="1:33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spans="1:33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spans="1:33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spans="1:33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spans="1:33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spans="1:33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spans="1:33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spans="1:33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spans="1:33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spans="1:33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spans="1:33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spans="1:33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spans="1:33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spans="1:33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spans="1:33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spans="1:33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spans="1:33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spans="1:33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spans="1:33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spans="1:33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spans="1:33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spans="1:33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spans="1:33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spans="1:33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spans="1:33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spans="1:33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spans="1:33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spans="1:33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spans="1:33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spans="1:33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spans="1:33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spans="1:33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spans="1:33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spans="1:33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spans="1:33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spans="1:33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spans="1:33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spans="1:33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spans="1:33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spans="1:33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spans="1:33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spans="1:33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spans="1:33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spans="1:33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spans="1:33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spans="1:33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spans="1:33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spans="1:33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spans="1:33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spans="1:33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spans="1:33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spans="1:33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spans="1:33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spans="1:33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spans="1:33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spans="1:33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spans="1:33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spans="1:33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spans="1:33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spans="1:33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spans="1:33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spans="1:33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spans="1:33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spans="1:33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spans="1:33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spans="1:33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spans="1:33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spans="1:33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spans="1:33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spans="1:33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spans="1:33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spans="1:33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spans="1:33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spans="1:33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spans="1:33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spans="1:33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spans="1:33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spans="1:33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spans="1:33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spans="1:33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spans="1:33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spans="1:33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spans="1:33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spans="1:33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spans="1:33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spans="1:33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spans="1:33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spans="1:33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spans="1:33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spans="1:33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spans="1:33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spans="1:33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spans="1:33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spans="1:33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spans="1:33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spans="1:33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spans="1:33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spans="1:33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spans="1:33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spans="1:33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spans="1:33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spans="1:33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spans="1:33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spans="1:33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spans="1:33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spans="1:33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spans="1:33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spans="1:33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spans="1:33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spans="1:33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spans="1:33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spans="1:33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spans="1:33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spans="1:33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spans="1:33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spans="1:33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spans="1:33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spans="1:33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spans="1:33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spans="1:33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spans="1:33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spans="1:33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spans="1:33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spans="1:33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spans="1:33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spans="1:33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spans="1:33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spans="1:33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spans="1:33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spans="1:33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spans="1:33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spans="1:33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spans="1:33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spans="1:33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spans="1:33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spans="1:33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spans="1:33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spans="1:33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spans="1:33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spans="1:33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spans="1:33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spans="1:33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spans="1:33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spans="1:33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spans="1:33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spans="1:33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spans="1:33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spans="1:33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spans="1:33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spans="1:33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spans="1:33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spans="1:33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spans="1:33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spans="1:33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spans="1:33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spans="1:33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spans="1:33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spans="1:33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spans="1:33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spans="1:33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spans="1:33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spans="1:33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spans="1:33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spans="1:33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spans="1:33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spans="1:33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spans="1:33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  <row r="1001" spans="1:33" ht="15.75" customHeight="1" x14ac:dyDescent="0.2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</row>
    <row r="1002" spans="1:33" ht="15.75" customHeight="1" x14ac:dyDescent="0.25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</row>
    <row r="1003" spans="1:33" ht="15.75" customHeight="1" x14ac:dyDescent="0.25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</row>
  </sheetData>
  <mergeCells count="3">
    <mergeCell ref="A33:A34"/>
    <mergeCell ref="E38:E39"/>
    <mergeCell ref="E42:E45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5"/>
  <sheetViews>
    <sheetView zoomScale="90" zoomScaleNormal="90" workbookViewId="0">
      <selection activeCell="A35" sqref="A35"/>
    </sheetView>
  </sheetViews>
  <sheetFormatPr baseColWidth="10" defaultColWidth="14.42578125" defaultRowHeight="15" customHeight="1" x14ac:dyDescent="0.25"/>
  <cols>
    <col min="1" max="1" width="28.7109375" customWidth="1"/>
    <col min="2" max="2" width="24" customWidth="1"/>
    <col min="3" max="3" width="58.140625" customWidth="1"/>
    <col min="4" max="4" width="32.5703125" customWidth="1"/>
    <col min="5" max="5" width="18.42578125" customWidth="1"/>
    <col min="6" max="6" width="10.140625" customWidth="1"/>
    <col min="7" max="7" width="17.7109375" customWidth="1"/>
    <col min="8" max="8" width="15.28515625" customWidth="1"/>
    <col min="9" max="27" width="8.7109375" customWidth="1"/>
  </cols>
  <sheetData>
    <row r="1" spans="1:27" x14ac:dyDescent="0.25">
      <c r="A1" s="23" t="s">
        <v>13</v>
      </c>
      <c r="B1" s="23" t="s">
        <v>14</v>
      </c>
      <c r="C1" s="23" t="s">
        <v>15</v>
      </c>
      <c r="D1" s="23" t="s">
        <v>16</v>
      </c>
      <c r="E1" s="2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4" t="s">
        <v>17</v>
      </c>
      <c r="B2" s="4" t="s">
        <v>18</v>
      </c>
      <c r="C2" s="4"/>
      <c r="D2" s="25" t="s">
        <v>19</v>
      </c>
      <c r="E2" s="2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4"/>
      <c r="B3" s="4"/>
      <c r="C3" s="4" t="s">
        <v>20</v>
      </c>
      <c r="D3" s="25"/>
      <c r="E3" s="2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5">
      <c r="A4" s="4" t="s">
        <v>21</v>
      </c>
      <c r="B4" s="4" t="s">
        <v>22</v>
      </c>
      <c r="C4" s="4"/>
      <c r="D4" s="25" t="s">
        <v>104</v>
      </c>
      <c r="E4" s="25" t="s">
        <v>23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4"/>
      <c r="B5" s="4"/>
      <c r="C5" s="4" t="s">
        <v>24</v>
      </c>
      <c r="D5" s="25"/>
      <c r="E5" s="25"/>
      <c r="F5" s="4" t="s">
        <v>243</v>
      </c>
      <c r="G5" s="4"/>
      <c r="H5" s="4"/>
      <c r="I5" s="4"/>
      <c r="J5" s="4"/>
      <c r="K5" s="4"/>
      <c r="L5" s="4" t="s">
        <v>244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4" t="s">
        <v>25</v>
      </c>
      <c r="B6" s="4" t="s">
        <v>26</v>
      </c>
      <c r="C6" s="4"/>
      <c r="D6" s="25" t="s">
        <v>127</v>
      </c>
      <c r="E6" s="25"/>
      <c r="F6" s="4" t="s">
        <v>223</v>
      </c>
      <c r="G6" s="4" t="s">
        <v>224</v>
      </c>
      <c r="H6" s="4"/>
      <c r="I6" s="4"/>
      <c r="J6" s="4"/>
      <c r="K6" s="4"/>
      <c r="L6" t="s">
        <v>265</v>
      </c>
      <c r="M6" t="s">
        <v>266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4"/>
      <c r="B7" s="4"/>
      <c r="C7" s="4" t="s">
        <v>28</v>
      </c>
      <c r="D7" s="25"/>
      <c r="E7" s="25"/>
      <c r="F7" s="4" t="s">
        <v>225</v>
      </c>
      <c r="G7" s="4" t="s">
        <v>226</v>
      </c>
      <c r="H7" s="4"/>
      <c r="I7" s="4"/>
      <c r="J7" s="4"/>
      <c r="K7" s="4"/>
      <c r="L7" t="s">
        <v>267</v>
      </c>
      <c r="M7" t="s">
        <v>268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4" t="s">
        <v>29</v>
      </c>
      <c r="B8" s="4" t="s">
        <v>30</v>
      </c>
      <c r="C8" s="4" t="s">
        <v>278</v>
      </c>
      <c r="D8" s="25" t="s">
        <v>275</v>
      </c>
      <c r="E8" s="25"/>
      <c r="F8" s="4" t="s">
        <v>227</v>
      </c>
      <c r="G8" s="4" t="s">
        <v>228</v>
      </c>
      <c r="H8" s="4"/>
      <c r="I8" s="4"/>
      <c r="J8" s="4"/>
      <c r="K8" s="4"/>
      <c r="L8" t="s">
        <v>269</v>
      </c>
      <c r="M8" t="s">
        <v>270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4"/>
      <c r="B9" s="4"/>
      <c r="C9" s="4" t="s">
        <v>278</v>
      </c>
      <c r="D9" s="25" t="s">
        <v>276</v>
      </c>
      <c r="E9" s="25"/>
      <c r="F9" s="4" t="s">
        <v>229</v>
      </c>
      <c r="G9" s="4" t="s">
        <v>230</v>
      </c>
      <c r="H9" s="4"/>
      <c r="I9" s="4"/>
      <c r="J9" s="4"/>
      <c r="K9" s="4"/>
      <c r="L9" t="s">
        <v>271</v>
      </c>
      <c r="M9" t="s">
        <v>272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 t="s">
        <v>279</v>
      </c>
      <c r="D10" s="25" t="s">
        <v>277</v>
      </c>
      <c r="E10" s="25"/>
      <c r="F10" s="4" t="s">
        <v>231</v>
      </c>
      <c r="G10" s="4" t="s">
        <v>232</v>
      </c>
      <c r="H10" s="4"/>
      <c r="I10" s="4"/>
      <c r="J10" s="4"/>
      <c r="K10" s="4"/>
      <c r="L10" t="s">
        <v>273</v>
      </c>
      <c r="M10" t="s">
        <v>274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 t="s">
        <v>23</v>
      </c>
      <c r="C11" s="4" t="s">
        <v>280</v>
      </c>
      <c r="D11" s="25" t="s">
        <v>281</v>
      </c>
      <c r="E11" s="25"/>
      <c r="F11" s="27" t="s">
        <v>233</v>
      </c>
      <c r="G11" s="27" t="s">
        <v>234</v>
      </c>
      <c r="H11" s="27"/>
      <c r="I11" s="27"/>
      <c r="J11" s="27"/>
      <c r="K11" s="27"/>
      <c r="L11" s="27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 t="s">
        <v>282</v>
      </c>
      <c r="D12" s="25" t="s">
        <v>283</v>
      </c>
      <c r="E12" s="25"/>
      <c r="F12" s="4" t="s">
        <v>235</v>
      </c>
      <c r="G12" s="4" t="s">
        <v>236</v>
      </c>
      <c r="H12" s="4"/>
      <c r="I12" s="4"/>
      <c r="J12" s="4"/>
      <c r="K12" s="4"/>
      <c r="L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26"/>
      <c r="B13" s="26"/>
      <c r="C13" s="1" t="s">
        <v>128</v>
      </c>
      <c r="D13" s="26"/>
      <c r="E13" s="26"/>
      <c r="F13" s="4" t="s">
        <v>237</v>
      </c>
      <c r="G13" s="4" t="s">
        <v>238</v>
      </c>
      <c r="H13" s="4"/>
      <c r="I13" s="4"/>
      <c r="J13" s="4"/>
      <c r="K13" s="4"/>
      <c r="L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25"/>
      <c r="E14" s="25"/>
      <c r="F14" s="4" t="s">
        <v>239</v>
      </c>
      <c r="G14" s="4" t="s">
        <v>240</v>
      </c>
      <c r="H14" s="4"/>
      <c r="I14" s="4"/>
      <c r="J14" s="4"/>
      <c r="K14" s="4"/>
      <c r="L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27" t="s">
        <v>39</v>
      </c>
      <c r="B15" s="27" t="s">
        <v>40</v>
      </c>
      <c r="C15" s="27"/>
      <c r="D15" s="25"/>
      <c r="E15" s="25"/>
      <c r="F15" s="4" t="s">
        <v>241</v>
      </c>
      <c r="G15" s="4" t="s">
        <v>242</v>
      </c>
      <c r="H15" s="4"/>
      <c r="I15" s="4"/>
      <c r="J15" s="4"/>
      <c r="K15" s="4"/>
      <c r="L15" s="4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x14ac:dyDescent="0.25">
      <c r="A16" s="4"/>
      <c r="B16" s="4"/>
      <c r="C16" s="28" t="s">
        <v>41</v>
      </c>
      <c r="D16" s="25"/>
      <c r="E16" s="2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5">
      <c r="A17" s="25" t="s">
        <v>284</v>
      </c>
      <c r="B17" s="4" t="s">
        <v>44</v>
      </c>
      <c r="C17" s="4"/>
      <c r="D17" s="25" t="s">
        <v>45</v>
      </c>
      <c r="E17" s="2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5">
      <c r="A18" s="4" t="s">
        <v>49</v>
      </c>
      <c r="B18" s="4"/>
      <c r="C18">
        <v>15.208</v>
      </c>
      <c r="D18" s="25" t="s">
        <v>129</v>
      </c>
      <c r="E18" s="2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5">
      <c r="A19" s="4" t="s">
        <v>130</v>
      </c>
      <c r="B19" s="4" t="s">
        <v>50</v>
      </c>
      <c r="C19" s="51">
        <v>65.753889999999998</v>
      </c>
      <c r="D19" s="25" t="s">
        <v>131</v>
      </c>
      <c r="E19" s="2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5">
      <c r="A20" s="4" t="s">
        <v>132</v>
      </c>
      <c r="B20" s="4" t="s">
        <v>47</v>
      </c>
      <c r="C20" s="52">
        <f>+ROUND(C18*C19,0)</f>
        <v>1000</v>
      </c>
      <c r="D20" s="25" t="s">
        <v>133</v>
      </c>
      <c r="E20" s="25" t="s">
        <v>134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 t="s">
        <v>54</v>
      </c>
      <c r="B21" s="4" t="s">
        <v>47</v>
      </c>
      <c r="C21" s="4"/>
      <c r="D21" s="25" t="s">
        <v>55</v>
      </c>
      <c r="E21" s="2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 t="s">
        <v>56</v>
      </c>
      <c r="B22" s="4" t="s">
        <v>57</v>
      </c>
      <c r="C22" s="49">
        <v>45876</v>
      </c>
      <c r="D22" s="25" t="s">
        <v>58</v>
      </c>
      <c r="E22" s="25" t="s">
        <v>135</v>
      </c>
      <c r="F22" s="4"/>
      <c r="G22" s="4" t="s">
        <v>136</v>
      </c>
      <c r="H22" s="4" t="s">
        <v>137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50" t="s">
        <v>59</v>
      </c>
      <c r="B23" s="50" t="s">
        <v>57</v>
      </c>
      <c r="C23" s="50" t="s">
        <v>285</v>
      </c>
      <c r="D23" s="25" t="s">
        <v>60</v>
      </c>
      <c r="E23" s="25" t="s">
        <v>138</v>
      </c>
      <c r="F23" s="4"/>
      <c r="G23" s="4" t="s">
        <v>139</v>
      </c>
      <c r="H23" s="4" t="s">
        <v>137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25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 t="s">
        <v>68</v>
      </c>
      <c r="B25" s="4" t="s">
        <v>30</v>
      </c>
      <c r="C25" s="4"/>
      <c r="D25" s="25" t="s">
        <v>140</v>
      </c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25"/>
      <c r="E26" s="2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5">
      <c r="A27" s="4" t="s">
        <v>141</v>
      </c>
      <c r="B27" s="4"/>
      <c r="C27" s="4"/>
      <c r="D27" s="25"/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4" t="s">
        <v>142</v>
      </c>
      <c r="B28" s="4" t="s">
        <v>90</v>
      </c>
      <c r="C28" s="4"/>
      <c r="D28" s="25" t="s">
        <v>91</v>
      </c>
      <c r="E28" s="2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4" t="s">
        <v>143</v>
      </c>
      <c r="B29" s="4" t="s">
        <v>90</v>
      </c>
      <c r="C29" s="4"/>
      <c r="D29" s="25" t="s">
        <v>93</v>
      </c>
      <c r="E29" s="2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4"/>
      <c r="B30" s="4"/>
      <c r="C30" s="4"/>
      <c r="D30" s="25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5">
      <c r="A31" s="4" t="s">
        <v>97</v>
      </c>
      <c r="B31" s="4" t="s">
        <v>98</v>
      </c>
      <c r="C31" s="4"/>
      <c r="D31" s="25" t="s">
        <v>99</v>
      </c>
      <c r="E31" s="2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5">
      <c r="A32" s="4" t="s">
        <v>100</v>
      </c>
      <c r="B32" s="4" t="s">
        <v>101</v>
      </c>
      <c r="C32" s="4"/>
      <c r="D32" s="25" t="s">
        <v>102</v>
      </c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5">
      <c r="A33" s="4"/>
      <c r="B33" s="4"/>
      <c r="C33" s="4"/>
      <c r="D33" s="25"/>
      <c r="E33" s="2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5">
      <c r="A34" s="4" t="s">
        <v>144</v>
      </c>
      <c r="B34" s="4"/>
      <c r="C34" s="4"/>
      <c r="D34" s="25"/>
      <c r="E34" s="2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4" t="s">
        <v>287</v>
      </c>
      <c r="B35" s="4"/>
      <c r="C35" s="4"/>
      <c r="D35" s="25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5">
      <c r="A36" s="29" t="s">
        <v>124</v>
      </c>
      <c r="B36" s="4" t="s">
        <v>145</v>
      </c>
      <c r="C36" s="4"/>
      <c r="D36" s="25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5">
      <c r="A37" s="4"/>
      <c r="B37" s="4"/>
      <c r="C37" s="4"/>
      <c r="D37" s="25"/>
      <c r="E37" s="2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4" t="s">
        <v>241</v>
      </c>
      <c r="B38" s="4" t="s">
        <v>286</v>
      </c>
      <c r="C38" s="4"/>
      <c r="D38" s="25"/>
      <c r="E38" s="53">
        <f>+C20</f>
        <v>1000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5">
      <c r="A39" s="4"/>
      <c r="B39" s="4"/>
      <c r="C39" s="4" t="s">
        <v>173</v>
      </c>
      <c r="D39" s="25" t="s">
        <v>174</v>
      </c>
      <c r="E39" s="25"/>
      <c r="F39" s="54">
        <f>+C20</f>
        <v>1000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5">
      <c r="A40" s="4"/>
      <c r="B40" s="4"/>
      <c r="C40" s="4"/>
      <c r="D40" s="25"/>
      <c r="E40" s="2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5">
      <c r="A41" s="29" t="s">
        <v>125</v>
      </c>
      <c r="B41" s="4" t="s">
        <v>148</v>
      </c>
      <c r="C41" s="4"/>
      <c r="D41" s="25"/>
      <c r="E41" s="2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4"/>
      <c r="B42" s="4"/>
      <c r="C42" s="4"/>
      <c r="D42" s="25"/>
      <c r="E42" s="2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55" t="s">
        <v>173</v>
      </c>
      <c r="B43" t="s">
        <v>174</v>
      </c>
      <c r="E43" s="52">
        <f>+C19*10</f>
        <v>657.53890000000001</v>
      </c>
      <c r="F43" s="56"/>
      <c r="G43" s="4" t="s">
        <v>49</v>
      </c>
      <c r="H43" s="4"/>
      <c r="I43" s="4">
        <v>15.208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57"/>
      <c r="B44" s="58"/>
      <c r="C44" s="58" t="s">
        <v>241</v>
      </c>
      <c r="D44" s="58" t="s">
        <v>286</v>
      </c>
      <c r="E44" s="58"/>
      <c r="F44" s="52">
        <f>+E43</f>
        <v>657.53890000000001</v>
      </c>
      <c r="G44" s="4" t="s">
        <v>130</v>
      </c>
      <c r="H44" s="4" t="s">
        <v>50</v>
      </c>
      <c r="I44" s="4">
        <v>65.753889999999998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4"/>
      <c r="B45" s="4"/>
      <c r="C45" s="4"/>
      <c r="D45" s="25"/>
      <c r="E45" s="2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29" t="s">
        <v>126</v>
      </c>
      <c r="B46" s="4" t="s">
        <v>149</v>
      </c>
      <c r="C46" s="4"/>
      <c r="D46" s="25"/>
      <c r="E46" s="2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4"/>
      <c r="B47" s="4"/>
      <c r="C47" s="4"/>
      <c r="D47" s="25"/>
      <c r="E47" s="2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4" t="s">
        <v>147</v>
      </c>
      <c r="B48" s="4"/>
      <c r="C48" s="72" t="s">
        <v>150</v>
      </c>
      <c r="D48" s="25"/>
      <c r="E48" s="2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4"/>
      <c r="B49" s="4" t="s">
        <v>146</v>
      </c>
      <c r="C49" s="70"/>
      <c r="D49" s="25"/>
      <c r="E49" s="2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4"/>
      <c r="B50" s="4"/>
      <c r="C50" s="4"/>
      <c r="D50" s="25"/>
      <c r="E50" s="2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4"/>
      <c r="B51" s="4"/>
      <c r="C51" s="4"/>
      <c r="D51" s="25"/>
      <c r="E51" s="2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4"/>
      <c r="B52" s="4"/>
      <c r="C52" s="4"/>
      <c r="D52" s="25"/>
      <c r="E52" s="2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4"/>
      <c r="B53" s="4"/>
      <c r="C53" s="4"/>
      <c r="D53" s="25"/>
      <c r="E53" s="2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4"/>
      <c r="B54" s="4"/>
      <c r="C54" s="4"/>
      <c r="D54" s="25"/>
      <c r="E54" s="2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4"/>
      <c r="B55" s="4"/>
      <c r="C55" s="4"/>
      <c r="D55" s="25"/>
      <c r="E55" s="2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4"/>
      <c r="B56" s="4"/>
      <c r="C56" s="4"/>
      <c r="D56" s="25"/>
      <c r="E56" s="2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4"/>
      <c r="B57" s="4"/>
      <c r="C57" s="4"/>
      <c r="D57" s="25"/>
      <c r="E57" s="2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4"/>
      <c r="B58" s="4"/>
      <c r="C58" s="4"/>
      <c r="D58" s="25"/>
      <c r="E58" s="2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4"/>
      <c r="B59" s="4"/>
      <c r="C59" s="4"/>
      <c r="D59" s="25"/>
      <c r="E59" s="2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4"/>
      <c r="B60" s="4"/>
      <c r="C60" s="4"/>
      <c r="D60" s="25"/>
      <c r="E60" s="2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4"/>
      <c r="B61" s="4"/>
      <c r="C61" s="4"/>
      <c r="D61" s="25"/>
      <c r="E61" s="2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4"/>
      <c r="B62" s="4"/>
      <c r="C62" s="4"/>
      <c r="D62" s="25"/>
      <c r="E62" s="2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4"/>
      <c r="B63" s="4"/>
      <c r="C63" s="4"/>
      <c r="D63" s="25"/>
      <c r="E63" s="2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4"/>
      <c r="B64" s="4"/>
      <c r="C64" s="4"/>
      <c r="D64" s="25"/>
      <c r="E64" s="2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4"/>
      <c r="B65" s="4"/>
      <c r="C65" s="4"/>
      <c r="D65" s="25"/>
      <c r="E65" s="2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4"/>
      <c r="B66" s="4"/>
      <c r="C66" s="4"/>
      <c r="D66" s="25"/>
      <c r="E66" s="2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4"/>
      <c r="B67" s="4"/>
      <c r="C67" s="4"/>
      <c r="D67" s="25"/>
      <c r="E67" s="2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4"/>
      <c r="B68" s="4"/>
      <c r="C68" s="4"/>
      <c r="D68" s="25"/>
      <c r="E68" s="2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4"/>
      <c r="B69" s="4"/>
      <c r="C69" s="4"/>
      <c r="D69" s="25"/>
      <c r="E69" s="2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4"/>
      <c r="B70" s="4"/>
      <c r="C70" s="4"/>
      <c r="D70" s="25"/>
      <c r="E70" s="2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4"/>
      <c r="B71" s="4"/>
      <c r="C71" s="4"/>
      <c r="D71" s="25"/>
      <c r="E71" s="2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4"/>
      <c r="B72" s="4"/>
      <c r="C72" s="4"/>
      <c r="D72" s="25"/>
      <c r="E72" s="2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4"/>
      <c r="B73" s="4"/>
      <c r="C73" s="4"/>
      <c r="D73" s="25"/>
      <c r="E73" s="2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4"/>
      <c r="B74" s="4"/>
      <c r="C74" s="4"/>
      <c r="D74" s="25"/>
      <c r="E74" s="2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4"/>
      <c r="B75" s="4"/>
      <c r="C75" s="4"/>
      <c r="D75" s="25"/>
      <c r="E75" s="2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4"/>
      <c r="B76" s="4"/>
      <c r="C76" s="4"/>
      <c r="D76" s="25"/>
      <c r="E76" s="2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4"/>
      <c r="B77" s="4"/>
      <c r="C77" s="4"/>
      <c r="D77" s="25"/>
      <c r="E77" s="2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4"/>
      <c r="B78" s="4"/>
      <c r="C78" s="4"/>
      <c r="D78" s="25"/>
      <c r="E78" s="2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4"/>
      <c r="B79" s="4"/>
      <c r="C79" s="4"/>
      <c r="D79" s="25"/>
      <c r="E79" s="2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4"/>
      <c r="B80" s="4"/>
      <c r="C80" s="4"/>
      <c r="D80" s="25"/>
      <c r="E80" s="2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4"/>
      <c r="B81" s="4"/>
      <c r="C81" s="4"/>
      <c r="D81" s="25"/>
      <c r="E81" s="2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4"/>
      <c r="B82" s="4"/>
      <c r="C82" s="4"/>
      <c r="D82" s="25"/>
      <c r="E82" s="2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4"/>
      <c r="B83" s="4"/>
      <c r="C83" s="4"/>
      <c r="D83" s="25"/>
      <c r="E83" s="2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4"/>
      <c r="B84" s="4"/>
      <c r="C84" s="4"/>
      <c r="D84" s="25"/>
      <c r="E84" s="2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4"/>
      <c r="B85" s="4"/>
      <c r="C85" s="4"/>
      <c r="D85" s="25"/>
      <c r="E85" s="2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4"/>
      <c r="B86" s="4"/>
      <c r="C86" s="4"/>
      <c r="D86" s="25"/>
      <c r="E86" s="2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4"/>
      <c r="B87" s="4"/>
      <c r="C87" s="4"/>
      <c r="D87" s="25"/>
      <c r="E87" s="2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4"/>
      <c r="B88" s="4"/>
      <c r="C88" s="4"/>
      <c r="D88" s="25"/>
      <c r="E88" s="2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4"/>
      <c r="B89" s="4"/>
      <c r="C89" s="4"/>
      <c r="D89" s="25"/>
      <c r="E89" s="2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4"/>
      <c r="B90" s="4"/>
      <c r="C90" s="4"/>
      <c r="D90" s="25"/>
      <c r="E90" s="2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4"/>
      <c r="B91" s="4"/>
      <c r="C91" s="4"/>
      <c r="D91" s="25"/>
      <c r="E91" s="2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4"/>
      <c r="B92" s="4"/>
      <c r="C92" s="4"/>
      <c r="D92" s="25"/>
      <c r="E92" s="2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25"/>
      <c r="E93" s="2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25"/>
      <c r="E94" s="2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25"/>
      <c r="E95" s="2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25"/>
      <c r="E96" s="2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25"/>
      <c r="E97" s="2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25"/>
      <c r="E98" s="2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25"/>
      <c r="E99" s="2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25"/>
      <c r="E100" s="2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25"/>
      <c r="E101" s="2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25"/>
      <c r="E102" s="2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25"/>
      <c r="E103" s="2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25"/>
      <c r="E104" s="2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25"/>
      <c r="E105" s="2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25"/>
      <c r="E106" s="2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25"/>
      <c r="E107" s="2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25"/>
      <c r="E108" s="2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25"/>
      <c r="E109" s="2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25"/>
      <c r="E110" s="2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25"/>
      <c r="E111" s="2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25"/>
      <c r="E112" s="2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25"/>
      <c r="E113" s="2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25"/>
      <c r="E114" s="2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25"/>
      <c r="E115" s="2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25"/>
      <c r="E116" s="2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25"/>
      <c r="E117" s="2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25"/>
      <c r="E118" s="2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25"/>
      <c r="E119" s="2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25"/>
      <c r="E120" s="2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25"/>
      <c r="E121" s="2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25"/>
      <c r="E122" s="2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25"/>
      <c r="E123" s="2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25"/>
      <c r="E124" s="2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25"/>
      <c r="E125" s="2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25"/>
      <c r="E126" s="2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25"/>
      <c r="E127" s="2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25"/>
      <c r="E128" s="2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25"/>
      <c r="E129" s="2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25"/>
      <c r="E130" s="2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25"/>
      <c r="E131" s="2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25"/>
      <c r="E132" s="2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25"/>
      <c r="E133" s="2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25"/>
      <c r="E134" s="2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25"/>
      <c r="E135" s="2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25"/>
      <c r="E136" s="2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25"/>
      <c r="E137" s="2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25"/>
      <c r="E138" s="2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25"/>
      <c r="E139" s="2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25"/>
      <c r="E140" s="2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25"/>
      <c r="E141" s="2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25"/>
      <c r="E142" s="2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25"/>
      <c r="E143" s="2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25"/>
      <c r="E144" s="2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25"/>
      <c r="E145" s="2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25"/>
      <c r="E146" s="2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25"/>
      <c r="E147" s="2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25"/>
      <c r="E148" s="2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25"/>
      <c r="E149" s="2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25"/>
      <c r="E150" s="2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25"/>
      <c r="E151" s="2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25"/>
      <c r="E152" s="2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25"/>
      <c r="E153" s="2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25"/>
      <c r="E154" s="2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25"/>
      <c r="E155" s="2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25"/>
      <c r="E156" s="2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25"/>
      <c r="E157" s="2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25"/>
      <c r="E158" s="2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25"/>
      <c r="E159" s="2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25"/>
      <c r="E160" s="2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25"/>
      <c r="E161" s="2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25"/>
      <c r="E162" s="2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25"/>
      <c r="E163" s="2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25"/>
      <c r="E164" s="2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25"/>
      <c r="E165" s="2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25"/>
      <c r="E166" s="2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25"/>
      <c r="E167" s="2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25"/>
      <c r="E168" s="2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25"/>
      <c r="E169" s="2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25"/>
      <c r="E170" s="2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25"/>
      <c r="E171" s="2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25"/>
      <c r="E172" s="2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25"/>
      <c r="E173" s="2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25"/>
      <c r="E174" s="2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25"/>
      <c r="E175" s="2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25"/>
      <c r="E176" s="2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25"/>
      <c r="E177" s="2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25"/>
      <c r="E178" s="2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25"/>
      <c r="E179" s="2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25"/>
      <c r="E180" s="2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25"/>
      <c r="E181" s="2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D182" s="25"/>
      <c r="E182" s="2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25"/>
      <c r="E183" s="2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25"/>
      <c r="E184" s="2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25"/>
      <c r="E185" s="2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25"/>
      <c r="E186" s="2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25"/>
      <c r="E187" s="2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25"/>
      <c r="E188" s="2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25"/>
      <c r="E189" s="2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25"/>
      <c r="E190" s="2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25"/>
      <c r="E191" s="2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25"/>
      <c r="E192" s="2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25"/>
      <c r="E193" s="2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25"/>
      <c r="E194" s="2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25"/>
      <c r="E195" s="2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25"/>
      <c r="E196" s="2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25"/>
      <c r="E197" s="2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25"/>
      <c r="E198" s="2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25"/>
      <c r="E199" s="2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25"/>
      <c r="E200" s="2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25"/>
      <c r="E201" s="2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25"/>
      <c r="E202" s="2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25"/>
      <c r="E203" s="2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25"/>
      <c r="E204" s="2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25"/>
      <c r="E205" s="2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25"/>
      <c r="E206" s="2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25"/>
      <c r="E207" s="2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25"/>
      <c r="E208" s="2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25"/>
      <c r="E209" s="2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25"/>
      <c r="E210" s="2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25"/>
      <c r="E211" s="2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25"/>
      <c r="E212" s="2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25"/>
      <c r="E213" s="2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25"/>
      <c r="E214" s="2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25"/>
      <c r="E215" s="2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25"/>
      <c r="E216" s="2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25"/>
      <c r="E217" s="2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25"/>
      <c r="E218" s="2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25"/>
      <c r="E219" s="2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25"/>
      <c r="E220" s="2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25"/>
      <c r="E221" s="2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25"/>
      <c r="E222" s="2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25"/>
      <c r="E223" s="2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25"/>
      <c r="E224" s="2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25"/>
      <c r="E225" s="2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25"/>
      <c r="E226" s="2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5">
      <c r="A227" s="4"/>
      <c r="B227" s="4"/>
      <c r="C227" s="4"/>
      <c r="D227" s="25"/>
      <c r="E227" s="2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5">
      <c r="A228" s="4"/>
      <c r="B228" s="4"/>
      <c r="C228" s="4"/>
      <c r="D228" s="25"/>
      <c r="E228" s="2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5">
      <c r="A229" s="4"/>
      <c r="B229" s="4"/>
      <c r="C229" s="4"/>
      <c r="D229" s="25"/>
      <c r="E229" s="2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5">
      <c r="A230" s="4"/>
      <c r="B230" s="4"/>
      <c r="C230" s="4"/>
      <c r="D230" s="25"/>
      <c r="E230" s="2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5">
      <c r="A231" s="4"/>
      <c r="B231" s="4"/>
      <c r="C231" s="4"/>
      <c r="D231" s="25"/>
      <c r="E231" s="2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5">
      <c r="A232" s="4"/>
      <c r="B232" s="4"/>
      <c r="C232" s="4"/>
      <c r="D232" s="25"/>
      <c r="E232" s="2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5">
      <c r="A233" s="4"/>
      <c r="B233" s="4"/>
      <c r="C233" s="4"/>
      <c r="D233" s="25"/>
      <c r="E233" s="2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5">
      <c r="A234" s="4"/>
      <c r="B234" s="4"/>
      <c r="C234" s="4"/>
      <c r="D234" s="25"/>
      <c r="E234" s="2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5">
      <c r="A235" s="4"/>
      <c r="B235" s="4"/>
      <c r="C235" s="4"/>
      <c r="D235" s="25"/>
      <c r="E235" s="2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5">
      <c r="A236" s="4"/>
      <c r="B236" s="4"/>
      <c r="C236" s="4"/>
      <c r="D236" s="25"/>
      <c r="E236" s="2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5">
      <c r="A237" s="4"/>
      <c r="B237" s="4"/>
      <c r="C237" s="4"/>
      <c r="D237" s="25"/>
      <c r="E237" s="2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5">
      <c r="A238" s="4"/>
      <c r="B238" s="4"/>
      <c r="C238" s="4"/>
      <c r="D238" s="25"/>
      <c r="E238" s="2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5">
      <c r="A239" s="4"/>
      <c r="B239" s="4"/>
      <c r="C239" s="4"/>
      <c r="D239" s="25"/>
      <c r="E239" s="2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5">
      <c r="A240" s="4"/>
      <c r="B240" s="4"/>
      <c r="C240" s="4"/>
      <c r="D240" s="25"/>
      <c r="E240" s="2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5">
      <c r="A241" s="4"/>
      <c r="B241" s="4"/>
      <c r="C241" s="4"/>
      <c r="D241" s="25"/>
      <c r="E241" s="2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5">
      <c r="A242" s="4"/>
      <c r="B242" s="4"/>
      <c r="C242" s="4"/>
      <c r="D242" s="25"/>
      <c r="E242" s="2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5">
      <c r="A243" s="4"/>
      <c r="B243" s="4"/>
      <c r="C243" s="4"/>
      <c r="D243" s="25"/>
      <c r="E243" s="2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5">
      <c r="A244" s="4"/>
      <c r="B244" s="4"/>
      <c r="C244" s="4"/>
      <c r="D244" s="25"/>
      <c r="E244" s="2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5">
      <c r="A245" s="4"/>
      <c r="B245" s="4"/>
      <c r="C245" s="4"/>
      <c r="D245" s="25"/>
      <c r="E245" s="2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5">
      <c r="A246" s="4"/>
      <c r="B246" s="4"/>
      <c r="C246" s="4"/>
      <c r="D246" s="25"/>
      <c r="E246" s="2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5">
      <c r="A247" s="4"/>
      <c r="B247" s="4"/>
      <c r="C247" s="4"/>
      <c r="D247" s="25"/>
      <c r="E247" s="2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5">
      <c r="A248" s="4"/>
      <c r="B248" s="4"/>
      <c r="C248" s="4"/>
      <c r="D248" s="25"/>
      <c r="E248" s="2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5">
      <c r="A249" s="4"/>
      <c r="B249" s="4"/>
      <c r="C249" s="4"/>
      <c r="D249" s="25"/>
      <c r="E249" s="2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5">
      <c r="A250" s="4"/>
      <c r="B250" s="4"/>
      <c r="C250" s="4"/>
      <c r="D250" s="25"/>
      <c r="E250" s="2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5">
      <c r="A251" s="4"/>
      <c r="B251" s="4"/>
      <c r="C251" s="4"/>
      <c r="D251" s="25"/>
      <c r="E251" s="2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5">
      <c r="A252" s="4"/>
      <c r="B252" s="4"/>
      <c r="C252" s="4"/>
      <c r="D252" s="25"/>
      <c r="E252" s="2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5">
      <c r="A253" s="4"/>
      <c r="B253" s="4"/>
      <c r="C253" s="4"/>
      <c r="D253" s="25"/>
      <c r="E253" s="2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5">
      <c r="A254" s="4"/>
      <c r="B254" s="4"/>
      <c r="C254" s="4"/>
      <c r="D254" s="25"/>
      <c r="E254" s="2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5">
      <c r="A255" s="4"/>
      <c r="B255" s="4"/>
      <c r="C255" s="4"/>
      <c r="D255" s="25"/>
      <c r="E255" s="2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5">
      <c r="A256" s="4"/>
      <c r="B256" s="4"/>
      <c r="C256" s="4"/>
      <c r="D256" s="25"/>
      <c r="E256" s="2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5">
      <c r="A257" s="4"/>
      <c r="B257" s="4"/>
      <c r="C257" s="4"/>
      <c r="D257" s="25"/>
      <c r="E257" s="2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5">
      <c r="A258" s="4"/>
      <c r="B258" s="4"/>
      <c r="C258" s="4"/>
      <c r="D258" s="25"/>
      <c r="E258" s="2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5">
      <c r="A259" s="4"/>
      <c r="B259" s="4"/>
      <c r="C259" s="4"/>
      <c r="D259" s="25"/>
      <c r="E259" s="2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5">
      <c r="A260" s="4"/>
      <c r="B260" s="4"/>
      <c r="C260" s="4"/>
      <c r="D260" s="25"/>
      <c r="E260" s="2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5">
      <c r="A261" s="4"/>
      <c r="B261" s="4"/>
      <c r="C261" s="4"/>
      <c r="D261" s="25"/>
      <c r="E261" s="2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5">
      <c r="A262" s="4"/>
      <c r="B262" s="4"/>
      <c r="C262" s="4"/>
      <c r="D262" s="25"/>
      <c r="E262" s="2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5">
      <c r="A263" s="4"/>
      <c r="B263" s="4"/>
      <c r="C263" s="4"/>
      <c r="D263" s="25"/>
      <c r="E263" s="2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5">
      <c r="A264" s="4"/>
      <c r="B264" s="4"/>
      <c r="C264" s="4"/>
      <c r="D264" s="25"/>
      <c r="E264" s="2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5">
      <c r="A265" s="4"/>
      <c r="B265" s="4"/>
      <c r="C265" s="4"/>
      <c r="D265" s="25"/>
      <c r="E265" s="2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5">
      <c r="A266" s="4"/>
      <c r="B266" s="4"/>
      <c r="C266" s="4"/>
      <c r="D266" s="25"/>
      <c r="E266" s="2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5">
      <c r="A267" s="4"/>
      <c r="B267" s="4"/>
      <c r="C267" s="4"/>
      <c r="D267" s="25"/>
      <c r="E267" s="2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5">
      <c r="A268" s="4"/>
      <c r="B268" s="4"/>
      <c r="C268" s="4"/>
      <c r="D268" s="25"/>
      <c r="E268" s="2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5">
      <c r="A269" s="4"/>
      <c r="B269" s="4"/>
      <c r="C269" s="4"/>
      <c r="D269" s="25"/>
      <c r="E269" s="2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5">
      <c r="A270" s="4"/>
      <c r="B270" s="4"/>
      <c r="C270" s="4"/>
      <c r="D270" s="25"/>
      <c r="E270" s="2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5">
      <c r="A271" s="4"/>
      <c r="B271" s="4"/>
      <c r="C271" s="4"/>
      <c r="D271" s="25"/>
      <c r="E271" s="2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5">
      <c r="A272" s="4"/>
      <c r="B272" s="4"/>
      <c r="C272" s="4"/>
      <c r="D272" s="25"/>
      <c r="E272" s="2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5">
      <c r="A273" s="4"/>
      <c r="B273" s="4"/>
      <c r="C273" s="4"/>
      <c r="D273" s="25"/>
      <c r="E273" s="2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5">
      <c r="A274" s="4"/>
      <c r="B274" s="4"/>
      <c r="C274" s="4"/>
      <c r="D274" s="25"/>
      <c r="E274" s="2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5">
      <c r="A275" s="4"/>
      <c r="B275" s="4"/>
      <c r="C275" s="4"/>
      <c r="D275" s="25"/>
      <c r="E275" s="2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5">
      <c r="A276" s="4"/>
      <c r="B276" s="4"/>
      <c r="C276" s="4"/>
      <c r="D276" s="25"/>
      <c r="E276" s="2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5">
      <c r="A277" s="4"/>
      <c r="B277" s="4"/>
      <c r="C277" s="4"/>
      <c r="D277" s="25"/>
      <c r="E277" s="2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5">
      <c r="A278" s="4"/>
      <c r="B278" s="4"/>
      <c r="C278" s="4"/>
      <c r="D278" s="25"/>
      <c r="E278" s="2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5">
      <c r="A279" s="4"/>
      <c r="B279" s="4"/>
      <c r="C279" s="4"/>
      <c r="D279" s="25"/>
      <c r="E279" s="2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5">
      <c r="A280" s="4"/>
      <c r="B280" s="4"/>
      <c r="C280" s="4"/>
      <c r="D280" s="25"/>
      <c r="E280" s="2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5">
      <c r="A281" s="4"/>
      <c r="B281" s="4"/>
      <c r="C281" s="4"/>
      <c r="D281" s="25"/>
      <c r="E281" s="2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5">
      <c r="A282" s="4"/>
      <c r="B282" s="4"/>
      <c r="C282" s="4"/>
      <c r="D282" s="25"/>
      <c r="E282" s="2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5">
      <c r="A283" s="4"/>
      <c r="B283" s="4"/>
      <c r="C283" s="4"/>
      <c r="D283" s="25"/>
      <c r="E283" s="2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5">
      <c r="A284" s="4"/>
      <c r="B284" s="4"/>
      <c r="C284" s="4"/>
      <c r="D284" s="25"/>
      <c r="E284" s="2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5">
      <c r="A285" s="4"/>
      <c r="B285" s="4"/>
      <c r="C285" s="4"/>
      <c r="D285" s="25"/>
      <c r="E285" s="2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5">
      <c r="A286" s="4"/>
      <c r="B286" s="4"/>
      <c r="C286" s="4"/>
      <c r="D286" s="25"/>
      <c r="E286" s="2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5">
      <c r="A287" s="4"/>
      <c r="B287" s="4"/>
      <c r="C287" s="4"/>
      <c r="D287" s="25"/>
      <c r="E287" s="2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5">
      <c r="A288" s="4"/>
      <c r="B288" s="4"/>
      <c r="C288" s="4"/>
      <c r="D288" s="25"/>
      <c r="E288" s="2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5">
      <c r="A289" s="4"/>
      <c r="B289" s="4"/>
      <c r="C289" s="4"/>
      <c r="D289" s="25"/>
      <c r="E289" s="2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5">
      <c r="A290" s="4"/>
      <c r="B290" s="4"/>
      <c r="C290" s="4"/>
      <c r="D290" s="25"/>
      <c r="E290" s="2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5">
      <c r="A291" s="4"/>
      <c r="B291" s="4"/>
      <c r="C291" s="4"/>
      <c r="D291" s="25"/>
      <c r="E291" s="2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5">
      <c r="A292" s="4"/>
      <c r="B292" s="4"/>
      <c r="C292" s="4"/>
      <c r="D292" s="25"/>
      <c r="E292" s="2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5">
      <c r="A293" s="4"/>
      <c r="B293" s="4"/>
      <c r="C293" s="4"/>
      <c r="D293" s="25"/>
      <c r="E293" s="2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5">
      <c r="A294" s="4"/>
      <c r="B294" s="4"/>
      <c r="C294" s="4"/>
      <c r="D294" s="25"/>
      <c r="E294" s="2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5">
      <c r="A295" s="4"/>
      <c r="B295" s="4"/>
      <c r="C295" s="4"/>
      <c r="D295" s="25"/>
      <c r="E295" s="2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5">
      <c r="A296" s="4"/>
      <c r="B296" s="4"/>
      <c r="C296" s="4"/>
      <c r="D296" s="25"/>
      <c r="E296" s="2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5">
      <c r="A297" s="4"/>
      <c r="B297" s="4"/>
      <c r="C297" s="4"/>
      <c r="D297" s="25"/>
      <c r="E297" s="2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5">
      <c r="A298" s="4"/>
      <c r="B298" s="4"/>
      <c r="C298" s="4"/>
      <c r="D298" s="25"/>
      <c r="E298" s="2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5">
      <c r="A299" s="4"/>
      <c r="B299" s="4"/>
      <c r="C299" s="4"/>
      <c r="D299" s="25"/>
      <c r="E299" s="2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5">
      <c r="A300" s="4"/>
      <c r="B300" s="4"/>
      <c r="C300" s="4"/>
      <c r="D300" s="25"/>
      <c r="E300" s="2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5">
      <c r="A301" s="4"/>
      <c r="B301" s="4"/>
      <c r="C301" s="4"/>
      <c r="D301" s="25"/>
      <c r="E301" s="2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5">
      <c r="A302" s="4"/>
      <c r="B302" s="4"/>
      <c r="C302" s="4"/>
      <c r="D302" s="25"/>
      <c r="E302" s="2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5">
      <c r="A303" s="4"/>
      <c r="B303" s="4"/>
      <c r="C303" s="4"/>
      <c r="D303" s="25"/>
      <c r="E303" s="2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5">
      <c r="A304" s="4"/>
      <c r="B304" s="4"/>
      <c r="C304" s="4"/>
      <c r="D304" s="25"/>
      <c r="E304" s="2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5">
      <c r="A305" s="4"/>
      <c r="B305" s="4"/>
      <c r="C305" s="4"/>
      <c r="D305" s="25"/>
      <c r="E305" s="2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5">
      <c r="A306" s="4"/>
      <c r="B306" s="4"/>
      <c r="C306" s="4"/>
      <c r="D306" s="25"/>
      <c r="E306" s="2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5">
      <c r="A307" s="4"/>
      <c r="B307" s="4"/>
      <c r="C307" s="4"/>
      <c r="D307" s="25"/>
      <c r="E307" s="2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5">
      <c r="A308" s="4"/>
      <c r="B308" s="4"/>
      <c r="C308" s="4"/>
      <c r="D308" s="25"/>
      <c r="E308" s="2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5">
      <c r="A309" s="4"/>
      <c r="B309" s="4"/>
      <c r="C309" s="4"/>
      <c r="D309" s="25"/>
      <c r="E309" s="2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5">
      <c r="A310" s="4"/>
      <c r="B310" s="4"/>
      <c r="C310" s="4"/>
      <c r="D310" s="25"/>
      <c r="E310" s="2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5">
      <c r="A311" s="4"/>
      <c r="B311" s="4"/>
      <c r="C311" s="4"/>
      <c r="D311" s="25"/>
      <c r="E311" s="2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5">
      <c r="A312" s="4"/>
      <c r="B312" s="4"/>
      <c r="C312" s="4"/>
      <c r="D312" s="25"/>
      <c r="E312" s="2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5">
      <c r="A313" s="4"/>
      <c r="B313" s="4"/>
      <c r="C313" s="4"/>
      <c r="D313" s="25"/>
      <c r="E313" s="2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5">
      <c r="A314" s="4"/>
      <c r="B314" s="4"/>
      <c r="C314" s="4"/>
      <c r="D314" s="25"/>
      <c r="E314" s="2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5">
      <c r="A315" s="4"/>
      <c r="B315" s="4"/>
      <c r="C315" s="4"/>
      <c r="D315" s="25"/>
      <c r="E315" s="2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5">
      <c r="A316" s="4"/>
      <c r="B316" s="4"/>
      <c r="C316" s="4"/>
      <c r="D316" s="25"/>
      <c r="E316" s="2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5">
      <c r="A317" s="4"/>
      <c r="B317" s="4"/>
      <c r="C317" s="4"/>
      <c r="D317" s="25"/>
      <c r="E317" s="2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5">
      <c r="A318" s="4"/>
      <c r="B318" s="4"/>
      <c r="C318" s="4"/>
      <c r="D318" s="25"/>
      <c r="E318" s="2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5">
      <c r="A319" s="4"/>
      <c r="B319" s="4"/>
      <c r="C319" s="4"/>
      <c r="D319" s="25"/>
      <c r="E319" s="2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5">
      <c r="A320" s="4"/>
      <c r="B320" s="4"/>
      <c r="C320" s="4"/>
      <c r="D320" s="25"/>
      <c r="E320" s="2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5">
      <c r="A321" s="4"/>
      <c r="B321" s="4"/>
      <c r="C321" s="4"/>
      <c r="D321" s="25"/>
      <c r="E321" s="2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5">
      <c r="A322" s="4"/>
      <c r="B322" s="4"/>
      <c r="C322" s="4"/>
      <c r="D322" s="25"/>
      <c r="E322" s="2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5">
      <c r="A323" s="4"/>
      <c r="B323" s="4"/>
      <c r="C323" s="4"/>
      <c r="D323" s="25"/>
      <c r="E323" s="2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5">
      <c r="A324" s="4"/>
      <c r="B324" s="4"/>
      <c r="C324" s="4"/>
      <c r="D324" s="25"/>
      <c r="E324" s="2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5">
      <c r="A325" s="4"/>
      <c r="B325" s="4"/>
      <c r="C325" s="4"/>
      <c r="D325" s="25"/>
      <c r="E325" s="2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5">
      <c r="A326" s="4"/>
      <c r="B326" s="4"/>
      <c r="C326" s="4"/>
      <c r="D326" s="25"/>
      <c r="E326" s="2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5">
      <c r="A327" s="4"/>
      <c r="B327" s="4"/>
      <c r="C327" s="4"/>
      <c r="D327" s="25"/>
      <c r="E327" s="2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5">
      <c r="A328" s="4"/>
      <c r="B328" s="4"/>
      <c r="C328" s="4"/>
      <c r="D328" s="25"/>
      <c r="E328" s="2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5">
      <c r="A329" s="4"/>
      <c r="B329" s="4"/>
      <c r="C329" s="4"/>
      <c r="D329" s="25"/>
      <c r="E329" s="2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5">
      <c r="A330" s="4"/>
      <c r="B330" s="4"/>
      <c r="C330" s="4"/>
      <c r="D330" s="25"/>
      <c r="E330" s="2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5">
      <c r="A331" s="4"/>
      <c r="B331" s="4"/>
      <c r="C331" s="4"/>
      <c r="D331" s="25"/>
      <c r="E331" s="2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5">
      <c r="A332" s="4"/>
      <c r="B332" s="4"/>
      <c r="C332" s="4"/>
      <c r="D332" s="25"/>
      <c r="E332" s="2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5">
      <c r="A333" s="4"/>
      <c r="B333" s="4"/>
      <c r="C333" s="4"/>
      <c r="D333" s="25"/>
      <c r="E333" s="2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5">
      <c r="A334" s="4"/>
      <c r="B334" s="4"/>
      <c r="C334" s="4"/>
      <c r="D334" s="25"/>
      <c r="E334" s="2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5">
      <c r="A335" s="4"/>
      <c r="B335" s="4"/>
      <c r="C335" s="4"/>
      <c r="D335" s="25"/>
      <c r="E335" s="2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5">
      <c r="A336" s="4"/>
      <c r="B336" s="4"/>
      <c r="C336" s="4"/>
      <c r="D336" s="25"/>
      <c r="E336" s="2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5">
      <c r="A337" s="4"/>
      <c r="B337" s="4"/>
      <c r="C337" s="4"/>
      <c r="D337" s="25"/>
      <c r="E337" s="2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5">
      <c r="A338" s="4"/>
      <c r="B338" s="4"/>
      <c r="C338" s="4"/>
      <c r="D338" s="25"/>
      <c r="E338" s="2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5">
      <c r="A339" s="4"/>
      <c r="B339" s="4"/>
      <c r="C339" s="4"/>
      <c r="D339" s="25"/>
      <c r="E339" s="2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5">
      <c r="A340" s="4"/>
      <c r="B340" s="4"/>
      <c r="C340" s="4"/>
      <c r="D340" s="25"/>
      <c r="E340" s="2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5">
      <c r="A341" s="4"/>
      <c r="B341" s="4"/>
      <c r="C341" s="4"/>
      <c r="D341" s="25"/>
      <c r="E341" s="2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5">
      <c r="A342" s="4"/>
      <c r="B342" s="4"/>
      <c r="C342" s="4"/>
      <c r="D342" s="25"/>
      <c r="E342" s="2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5">
      <c r="A343" s="4"/>
      <c r="B343" s="4"/>
      <c r="C343" s="4"/>
      <c r="D343" s="25"/>
      <c r="E343" s="2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5">
      <c r="A344" s="4"/>
      <c r="B344" s="4"/>
      <c r="C344" s="4"/>
      <c r="D344" s="25"/>
      <c r="E344" s="2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5">
      <c r="A345" s="4"/>
      <c r="B345" s="4"/>
      <c r="C345" s="4"/>
      <c r="D345" s="25"/>
      <c r="E345" s="2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5">
      <c r="A346" s="4"/>
      <c r="B346" s="4"/>
      <c r="C346" s="4"/>
      <c r="D346" s="25"/>
      <c r="E346" s="2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5">
      <c r="A347" s="4"/>
      <c r="B347" s="4"/>
      <c r="C347" s="4"/>
      <c r="D347" s="25"/>
      <c r="E347" s="2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5">
      <c r="A348" s="4"/>
      <c r="B348" s="4"/>
      <c r="C348" s="4"/>
      <c r="D348" s="25"/>
      <c r="E348" s="2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5">
      <c r="A349" s="4"/>
      <c r="B349" s="4"/>
      <c r="C349" s="4"/>
      <c r="D349" s="25"/>
      <c r="E349" s="2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5">
      <c r="A350" s="4"/>
      <c r="B350" s="4"/>
      <c r="C350" s="4"/>
      <c r="D350" s="25"/>
      <c r="E350" s="2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5">
      <c r="A351" s="4"/>
      <c r="B351" s="4"/>
      <c r="C351" s="4"/>
      <c r="D351" s="25"/>
      <c r="E351" s="2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5">
      <c r="A352" s="4"/>
      <c r="B352" s="4"/>
      <c r="C352" s="4"/>
      <c r="D352" s="25"/>
      <c r="E352" s="2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5">
      <c r="A353" s="4"/>
      <c r="B353" s="4"/>
      <c r="C353" s="4"/>
      <c r="D353" s="25"/>
      <c r="E353" s="2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5">
      <c r="A354" s="4"/>
      <c r="B354" s="4"/>
      <c r="C354" s="4"/>
      <c r="D354" s="25"/>
      <c r="E354" s="2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5">
      <c r="A355" s="4"/>
      <c r="B355" s="4"/>
      <c r="C355" s="4"/>
      <c r="D355" s="25"/>
      <c r="E355" s="2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5">
      <c r="A356" s="4"/>
      <c r="B356" s="4"/>
      <c r="C356" s="4"/>
      <c r="D356" s="25"/>
      <c r="E356" s="2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5">
      <c r="A357" s="4"/>
      <c r="B357" s="4"/>
      <c r="C357" s="4"/>
      <c r="D357" s="25"/>
      <c r="E357" s="2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5">
      <c r="A358" s="4"/>
      <c r="B358" s="4"/>
      <c r="C358" s="4"/>
      <c r="D358" s="25"/>
      <c r="E358" s="2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5">
      <c r="A359" s="4"/>
      <c r="B359" s="4"/>
      <c r="C359" s="4"/>
      <c r="D359" s="25"/>
      <c r="E359" s="2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5">
      <c r="A360" s="4"/>
      <c r="B360" s="4"/>
      <c r="C360" s="4"/>
      <c r="D360" s="25"/>
      <c r="E360" s="2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5">
      <c r="A361" s="4"/>
      <c r="B361" s="4"/>
      <c r="C361" s="4"/>
      <c r="D361" s="25"/>
      <c r="E361" s="2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5">
      <c r="A362" s="4"/>
      <c r="B362" s="4"/>
      <c r="C362" s="4"/>
      <c r="D362" s="25"/>
      <c r="E362" s="2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5">
      <c r="A363" s="4"/>
      <c r="B363" s="4"/>
      <c r="C363" s="4"/>
      <c r="D363" s="25"/>
      <c r="E363" s="2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5">
      <c r="A364" s="4"/>
      <c r="B364" s="4"/>
      <c r="C364" s="4"/>
      <c r="D364" s="25"/>
      <c r="E364" s="2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5">
      <c r="A365" s="4"/>
      <c r="B365" s="4"/>
      <c r="C365" s="4"/>
      <c r="D365" s="25"/>
      <c r="E365" s="2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5">
      <c r="A366" s="4"/>
      <c r="B366" s="4"/>
      <c r="C366" s="4"/>
      <c r="D366" s="25"/>
      <c r="E366" s="2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5">
      <c r="A367" s="4"/>
      <c r="B367" s="4"/>
      <c r="C367" s="4"/>
      <c r="D367" s="25"/>
      <c r="E367" s="2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5">
      <c r="A368" s="4"/>
      <c r="B368" s="4"/>
      <c r="C368" s="4"/>
      <c r="D368" s="25"/>
      <c r="E368" s="2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5">
      <c r="A369" s="4"/>
      <c r="B369" s="4"/>
      <c r="C369" s="4"/>
      <c r="D369" s="25"/>
      <c r="E369" s="2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5">
      <c r="A370" s="4"/>
      <c r="B370" s="4"/>
      <c r="C370" s="4"/>
      <c r="D370" s="25"/>
      <c r="E370" s="2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5">
      <c r="A371" s="4"/>
      <c r="B371" s="4"/>
      <c r="C371" s="4"/>
      <c r="D371" s="25"/>
      <c r="E371" s="2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5">
      <c r="A372" s="4"/>
      <c r="B372" s="4"/>
      <c r="C372" s="4"/>
      <c r="D372" s="25"/>
      <c r="E372" s="2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5">
      <c r="A373" s="4"/>
      <c r="B373" s="4"/>
      <c r="C373" s="4"/>
      <c r="D373" s="25"/>
      <c r="E373" s="2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5">
      <c r="A374" s="4"/>
      <c r="B374" s="4"/>
      <c r="C374" s="4"/>
      <c r="D374" s="25"/>
      <c r="E374" s="2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5">
      <c r="A375" s="4"/>
      <c r="B375" s="4"/>
      <c r="C375" s="4"/>
      <c r="D375" s="25"/>
      <c r="E375" s="2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5">
      <c r="A376" s="4"/>
      <c r="B376" s="4"/>
      <c r="C376" s="4"/>
      <c r="D376" s="25"/>
      <c r="E376" s="2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5">
      <c r="A377" s="4"/>
      <c r="B377" s="4"/>
      <c r="C377" s="4"/>
      <c r="D377" s="25"/>
      <c r="E377" s="2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5">
      <c r="A378" s="4"/>
      <c r="B378" s="4"/>
      <c r="C378" s="4"/>
      <c r="D378" s="25"/>
      <c r="E378" s="2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5">
      <c r="A379" s="4"/>
      <c r="B379" s="4"/>
      <c r="C379" s="4"/>
      <c r="D379" s="25"/>
      <c r="E379" s="2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5">
      <c r="A380" s="4"/>
      <c r="B380" s="4"/>
      <c r="C380" s="4"/>
      <c r="D380" s="25"/>
      <c r="E380" s="2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5">
      <c r="A381" s="4"/>
      <c r="B381" s="4"/>
      <c r="C381" s="4"/>
      <c r="D381" s="25"/>
      <c r="E381" s="2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5">
      <c r="A382" s="4"/>
      <c r="B382" s="4"/>
      <c r="C382" s="4"/>
      <c r="D382" s="25"/>
      <c r="E382" s="2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5">
      <c r="A383" s="4"/>
      <c r="B383" s="4"/>
      <c r="C383" s="4"/>
      <c r="D383" s="25"/>
      <c r="E383" s="2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5">
      <c r="A384" s="4"/>
      <c r="B384" s="4"/>
      <c r="C384" s="4"/>
      <c r="D384" s="25"/>
      <c r="E384" s="2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5">
      <c r="A385" s="4"/>
      <c r="B385" s="4"/>
      <c r="C385" s="4"/>
      <c r="D385" s="25"/>
      <c r="E385" s="2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5">
      <c r="A386" s="4"/>
      <c r="B386" s="4"/>
      <c r="C386" s="4"/>
      <c r="D386" s="25"/>
      <c r="E386" s="2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5">
      <c r="A387" s="4"/>
      <c r="B387" s="4"/>
      <c r="C387" s="4"/>
      <c r="D387" s="25"/>
      <c r="E387" s="2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5">
      <c r="A388" s="4"/>
      <c r="B388" s="4"/>
      <c r="C388" s="4"/>
      <c r="D388" s="25"/>
      <c r="E388" s="2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5">
      <c r="A389" s="4"/>
      <c r="B389" s="4"/>
      <c r="C389" s="4"/>
      <c r="D389" s="25"/>
      <c r="E389" s="2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5">
      <c r="A390" s="4"/>
      <c r="B390" s="4"/>
      <c r="C390" s="4"/>
      <c r="D390" s="25"/>
      <c r="E390" s="2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5">
      <c r="A391" s="4"/>
      <c r="B391" s="4"/>
      <c r="C391" s="4"/>
      <c r="D391" s="25"/>
      <c r="E391" s="2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5">
      <c r="A392" s="4"/>
      <c r="B392" s="4"/>
      <c r="C392" s="4"/>
      <c r="D392" s="25"/>
      <c r="E392" s="2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5">
      <c r="A393" s="4"/>
      <c r="B393" s="4"/>
      <c r="C393" s="4"/>
      <c r="D393" s="25"/>
      <c r="E393" s="2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5">
      <c r="A394" s="4"/>
      <c r="B394" s="4"/>
      <c r="C394" s="4"/>
      <c r="D394" s="25"/>
      <c r="E394" s="2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5">
      <c r="A395" s="4"/>
      <c r="B395" s="4"/>
      <c r="C395" s="4"/>
      <c r="D395" s="25"/>
      <c r="E395" s="2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5">
      <c r="A396" s="4"/>
      <c r="B396" s="4"/>
      <c r="C396" s="4"/>
      <c r="D396" s="25"/>
      <c r="E396" s="2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5">
      <c r="A397" s="4"/>
      <c r="B397" s="4"/>
      <c r="C397" s="4"/>
      <c r="D397" s="25"/>
      <c r="E397" s="2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5">
      <c r="A398" s="4"/>
      <c r="B398" s="4"/>
      <c r="C398" s="4"/>
      <c r="D398" s="25"/>
      <c r="E398" s="2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5">
      <c r="A399" s="4"/>
      <c r="B399" s="4"/>
      <c r="C399" s="4"/>
      <c r="D399" s="25"/>
      <c r="E399" s="2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5">
      <c r="A400" s="4"/>
      <c r="B400" s="4"/>
      <c r="C400" s="4"/>
      <c r="D400" s="25"/>
      <c r="E400" s="2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5">
      <c r="A401" s="4"/>
      <c r="B401" s="4"/>
      <c r="C401" s="4"/>
      <c r="D401" s="25"/>
      <c r="E401" s="2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5">
      <c r="A402" s="4"/>
      <c r="B402" s="4"/>
      <c r="C402" s="4"/>
      <c r="D402" s="25"/>
      <c r="E402" s="2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5">
      <c r="A403" s="4"/>
      <c r="B403" s="4"/>
      <c r="C403" s="4"/>
      <c r="D403" s="25"/>
      <c r="E403" s="2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5">
      <c r="A404" s="4"/>
      <c r="B404" s="4"/>
      <c r="C404" s="4"/>
      <c r="D404" s="25"/>
      <c r="E404" s="2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5">
      <c r="A405" s="4"/>
      <c r="B405" s="4"/>
      <c r="C405" s="4"/>
      <c r="D405" s="25"/>
      <c r="E405" s="2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5">
      <c r="A406" s="4"/>
      <c r="B406" s="4"/>
      <c r="C406" s="4"/>
      <c r="D406" s="25"/>
      <c r="E406" s="2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5">
      <c r="A407" s="4"/>
      <c r="B407" s="4"/>
      <c r="C407" s="4"/>
      <c r="D407" s="25"/>
      <c r="E407" s="2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5">
      <c r="A408" s="4"/>
      <c r="B408" s="4"/>
      <c r="C408" s="4"/>
      <c r="D408" s="25"/>
      <c r="E408" s="2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5">
      <c r="A409" s="4"/>
      <c r="B409" s="4"/>
      <c r="C409" s="4"/>
      <c r="D409" s="25"/>
      <c r="E409" s="2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5">
      <c r="A410" s="4"/>
      <c r="B410" s="4"/>
      <c r="C410" s="4"/>
      <c r="D410" s="25"/>
      <c r="E410" s="2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5">
      <c r="A411" s="4"/>
      <c r="B411" s="4"/>
      <c r="C411" s="4"/>
      <c r="D411" s="25"/>
      <c r="E411" s="2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5">
      <c r="A412" s="4"/>
      <c r="B412" s="4"/>
      <c r="C412" s="4"/>
      <c r="D412" s="25"/>
      <c r="E412" s="2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5">
      <c r="A413" s="4"/>
      <c r="B413" s="4"/>
      <c r="C413" s="4"/>
      <c r="D413" s="25"/>
      <c r="E413" s="2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5">
      <c r="A414" s="4"/>
      <c r="B414" s="4"/>
      <c r="C414" s="4"/>
      <c r="D414" s="25"/>
      <c r="E414" s="2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5">
      <c r="A415" s="4"/>
      <c r="B415" s="4"/>
      <c r="C415" s="4"/>
      <c r="D415" s="25"/>
      <c r="E415" s="2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5">
      <c r="A416" s="4"/>
      <c r="B416" s="4"/>
      <c r="C416" s="4"/>
      <c r="D416" s="25"/>
      <c r="E416" s="2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5">
      <c r="A417" s="4"/>
      <c r="B417" s="4"/>
      <c r="C417" s="4"/>
      <c r="D417" s="25"/>
      <c r="E417" s="2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5">
      <c r="A418" s="4"/>
      <c r="B418" s="4"/>
      <c r="C418" s="4"/>
      <c r="D418" s="25"/>
      <c r="E418" s="2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5">
      <c r="A419" s="4"/>
      <c r="B419" s="4"/>
      <c r="C419" s="4"/>
      <c r="D419" s="25"/>
      <c r="E419" s="2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5">
      <c r="A420" s="4"/>
      <c r="B420" s="4"/>
      <c r="C420" s="4"/>
      <c r="D420" s="25"/>
      <c r="E420" s="2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5">
      <c r="A421" s="4"/>
      <c r="B421" s="4"/>
      <c r="C421" s="4"/>
      <c r="D421" s="25"/>
      <c r="E421" s="2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5">
      <c r="A422" s="4"/>
      <c r="B422" s="4"/>
      <c r="C422" s="4"/>
      <c r="D422" s="25"/>
      <c r="E422" s="2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5">
      <c r="A423" s="4"/>
      <c r="B423" s="4"/>
      <c r="C423" s="4"/>
      <c r="D423" s="25"/>
      <c r="E423" s="2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5">
      <c r="A424" s="4"/>
      <c r="B424" s="4"/>
      <c r="C424" s="4"/>
      <c r="D424" s="25"/>
      <c r="E424" s="2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5">
      <c r="A425" s="4"/>
      <c r="B425" s="4"/>
      <c r="C425" s="4"/>
      <c r="D425" s="25"/>
      <c r="E425" s="2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5">
      <c r="A426" s="4"/>
      <c r="B426" s="4"/>
      <c r="C426" s="4"/>
      <c r="D426" s="25"/>
      <c r="E426" s="2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5">
      <c r="A427" s="4"/>
      <c r="B427" s="4"/>
      <c r="C427" s="4"/>
      <c r="D427" s="25"/>
      <c r="E427" s="2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5">
      <c r="A428" s="4"/>
      <c r="B428" s="4"/>
      <c r="C428" s="4"/>
      <c r="D428" s="25"/>
      <c r="E428" s="2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5">
      <c r="A429" s="4"/>
      <c r="B429" s="4"/>
      <c r="C429" s="4"/>
      <c r="D429" s="25"/>
      <c r="E429" s="2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5">
      <c r="A430" s="4"/>
      <c r="B430" s="4"/>
      <c r="C430" s="4"/>
      <c r="D430" s="25"/>
      <c r="E430" s="2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5">
      <c r="A431" s="4"/>
      <c r="B431" s="4"/>
      <c r="C431" s="4"/>
      <c r="D431" s="25"/>
      <c r="E431" s="2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5">
      <c r="A432" s="4"/>
      <c r="B432" s="4"/>
      <c r="C432" s="4"/>
      <c r="D432" s="25"/>
      <c r="E432" s="2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5">
      <c r="A433" s="4"/>
      <c r="B433" s="4"/>
      <c r="C433" s="4"/>
      <c r="D433" s="25"/>
      <c r="E433" s="2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5">
      <c r="A434" s="4"/>
      <c r="B434" s="4"/>
      <c r="C434" s="4"/>
      <c r="D434" s="25"/>
      <c r="E434" s="2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5">
      <c r="A435" s="4"/>
      <c r="B435" s="4"/>
      <c r="C435" s="4"/>
      <c r="D435" s="25"/>
      <c r="E435" s="2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5">
      <c r="A436" s="4"/>
      <c r="B436" s="4"/>
      <c r="C436" s="4"/>
      <c r="D436" s="25"/>
      <c r="E436" s="2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5">
      <c r="A437" s="4"/>
      <c r="B437" s="4"/>
      <c r="C437" s="4"/>
      <c r="D437" s="25"/>
      <c r="E437" s="2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5">
      <c r="A438" s="4"/>
      <c r="B438" s="4"/>
      <c r="C438" s="4"/>
      <c r="D438" s="25"/>
      <c r="E438" s="2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5">
      <c r="A439" s="4"/>
      <c r="B439" s="4"/>
      <c r="C439" s="4"/>
      <c r="D439" s="25"/>
      <c r="E439" s="2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5">
      <c r="A440" s="4"/>
      <c r="B440" s="4"/>
      <c r="C440" s="4"/>
      <c r="D440" s="25"/>
      <c r="E440" s="2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5">
      <c r="A441" s="4"/>
      <c r="B441" s="4"/>
      <c r="C441" s="4"/>
      <c r="D441" s="25"/>
      <c r="E441" s="2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5">
      <c r="A442" s="4"/>
      <c r="B442" s="4"/>
      <c r="C442" s="4"/>
      <c r="D442" s="25"/>
      <c r="E442" s="2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5">
      <c r="A443" s="4"/>
      <c r="B443" s="4"/>
      <c r="C443" s="4"/>
      <c r="D443" s="25"/>
      <c r="E443" s="2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5">
      <c r="A444" s="4"/>
      <c r="B444" s="4"/>
      <c r="C444" s="4"/>
      <c r="D444" s="25"/>
      <c r="E444" s="2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5">
      <c r="A445" s="4"/>
      <c r="B445" s="4"/>
      <c r="C445" s="4"/>
      <c r="D445" s="25"/>
      <c r="E445" s="2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5">
      <c r="A446" s="4"/>
      <c r="B446" s="4"/>
      <c r="C446" s="4"/>
      <c r="D446" s="25"/>
      <c r="E446" s="2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5">
      <c r="A447" s="4"/>
      <c r="B447" s="4"/>
      <c r="C447" s="4"/>
      <c r="D447" s="25"/>
      <c r="E447" s="2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5">
      <c r="A448" s="4"/>
      <c r="B448" s="4"/>
      <c r="C448" s="4"/>
      <c r="D448" s="25"/>
      <c r="E448" s="2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5">
      <c r="A449" s="4"/>
      <c r="B449" s="4"/>
      <c r="C449" s="4"/>
      <c r="D449" s="25"/>
      <c r="E449" s="2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5">
      <c r="A450" s="4"/>
      <c r="B450" s="4"/>
      <c r="C450" s="4"/>
      <c r="D450" s="25"/>
      <c r="E450" s="2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5">
      <c r="A451" s="4"/>
      <c r="B451" s="4"/>
      <c r="C451" s="4"/>
      <c r="D451" s="25"/>
      <c r="E451" s="2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5">
      <c r="A452" s="4"/>
      <c r="B452" s="4"/>
      <c r="C452" s="4"/>
      <c r="D452" s="25"/>
      <c r="E452" s="2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5">
      <c r="A453" s="4"/>
      <c r="B453" s="4"/>
      <c r="C453" s="4"/>
      <c r="D453" s="25"/>
      <c r="E453" s="2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5">
      <c r="A454" s="4"/>
      <c r="B454" s="4"/>
      <c r="C454" s="4"/>
      <c r="D454" s="25"/>
      <c r="E454" s="2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5">
      <c r="A455" s="4"/>
      <c r="B455" s="4"/>
      <c r="C455" s="4"/>
      <c r="D455" s="25"/>
      <c r="E455" s="2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5">
      <c r="A456" s="4"/>
      <c r="B456" s="4"/>
      <c r="C456" s="4"/>
      <c r="D456" s="25"/>
      <c r="E456" s="2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5">
      <c r="A457" s="4"/>
      <c r="B457" s="4"/>
      <c r="C457" s="4"/>
      <c r="D457" s="25"/>
      <c r="E457" s="2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5">
      <c r="A458" s="4"/>
      <c r="B458" s="4"/>
      <c r="C458" s="4"/>
      <c r="D458" s="25"/>
      <c r="E458" s="2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5">
      <c r="A459" s="4"/>
      <c r="B459" s="4"/>
      <c r="C459" s="4"/>
      <c r="D459" s="25"/>
      <c r="E459" s="2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5">
      <c r="A460" s="4"/>
      <c r="B460" s="4"/>
      <c r="C460" s="4"/>
      <c r="D460" s="25"/>
      <c r="E460" s="2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5">
      <c r="A461" s="4"/>
      <c r="B461" s="4"/>
      <c r="C461" s="4"/>
      <c r="D461" s="25"/>
      <c r="E461" s="2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5">
      <c r="A462" s="4"/>
      <c r="B462" s="4"/>
      <c r="C462" s="4"/>
      <c r="D462" s="25"/>
      <c r="E462" s="2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5">
      <c r="A463" s="4"/>
      <c r="B463" s="4"/>
      <c r="C463" s="4"/>
      <c r="D463" s="25"/>
      <c r="E463" s="2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5">
      <c r="A464" s="4"/>
      <c r="B464" s="4"/>
      <c r="C464" s="4"/>
      <c r="D464" s="25"/>
      <c r="E464" s="2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5">
      <c r="A465" s="4"/>
      <c r="B465" s="4"/>
      <c r="C465" s="4"/>
      <c r="D465" s="25"/>
      <c r="E465" s="2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5">
      <c r="A466" s="4"/>
      <c r="B466" s="4"/>
      <c r="C466" s="4"/>
      <c r="D466" s="25"/>
      <c r="E466" s="2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5">
      <c r="A467" s="4"/>
      <c r="B467" s="4"/>
      <c r="C467" s="4"/>
      <c r="D467" s="25"/>
      <c r="E467" s="2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5">
      <c r="A468" s="4"/>
      <c r="B468" s="4"/>
      <c r="C468" s="4"/>
      <c r="D468" s="25"/>
      <c r="E468" s="2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5">
      <c r="A469" s="4"/>
      <c r="B469" s="4"/>
      <c r="C469" s="4"/>
      <c r="D469" s="25"/>
      <c r="E469" s="2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5">
      <c r="A470" s="4"/>
      <c r="B470" s="4"/>
      <c r="C470" s="4"/>
      <c r="D470" s="25"/>
      <c r="E470" s="2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5">
      <c r="A471" s="4"/>
      <c r="B471" s="4"/>
      <c r="C471" s="4"/>
      <c r="D471" s="25"/>
      <c r="E471" s="2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5">
      <c r="A472" s="4"/>
      <c r="B472" s="4"/>
      <c r="C472" s="4"/>
      <c r="D472" s="25"/>
      <c r="E472" s="2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5">
      <c r="A473" s="4"/>
      <c r="B473" s="4"/>
      <c r="C473" s="4"/>
      <c r="D473" s="25"/>
      <c r="E473" s="2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5">
      <c r="A474" s="4"/>
      <c r="B474" s="4"/>
      <c r="C474" s="4"/>
      <c r="D474" s="25"/>
      <c r="E474" s="2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5">
      <c r="A475" s="4"/>
      <c r="B475" s="4"/>
      <c r="C475" s="4"/>
      <c r="D475" s="25"/>
      <c r="E475" s="2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5">
      <c r="A476" s="4"/>
      <c r="B476" s="4"/>
      <c r="C476" s="4"/>
      <c r="D476" s="25"/>
      <c r="E476" s="2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5">
      <c r="A477" s="4"/>
      <c r="B477" s="4"/>
      <c r="C477" s="4"/>
      <c r="D477" s="25"/>
      <c r="E477" s="2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5">
      <c r="A478" s="4"/>
      <c r="B478" s="4"/>
      <c r="C478" s="4"/>
      <c r="D478" s="25"/>
      <c r="E478" s="2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5">
      <c r="A479" s="4"/>
      <c r="B479" s="4"/>
      <c r="C479" s="4"/>
      <c r="D479" s="25"/>
      <c r="E479" s="2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5">
      <c r="A480" s="4"/>
      <c r="B480" s="4"/>
      <c r="C480" s="4"/>
      <c r="D480" s="25"/>
      <c r="E480" s="2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5">
      <c r="A481" s="4"/>
      <c r="B481" s="4"/>
      <c r="C481" s="4"/>
      <c r="D481" s="25"/>
      <c r="E481" s="2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5">
      <c r="A482" s="4"/>
      <c r="B482" s="4"/>
      <c r="C482" s="4"/>
      <c r="D482" s="25"/>
      <c r="E482" s="2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5">
      <c r="A483" s="4"/>
      <c r="B483" s="4"/>
      <c r="C483" s="4"/>
      <c r="D483" s="25"/>
      <c r="E483" s="2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5">
      <c r="A484" s="4"/>
      <c r="B484" s="4"/>
      <c r="C484" s="4"/>
      <c r="D484" s="25"/>
      <c r="E484" s="2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5">
      <c r="A485" s="4"/>
      <c r="B485" s="4"/>
      <c r="C485" s="4"/>
      <c r="D485" s="25"/>
      <c r="E485" s="2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5">
      <c r="A486" s="4"/>
      <c r="B486" s="4"/>
      <c r="C486" s="4"/>
      <c r="D486" s="25"/>
      <c r="E486" s="2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5">
      <c r="A487" s="4"/>
      <c r="B487" s="4"/>
      <c r="C487" s="4"/>
      <c r="D487" s="25"/>
      <c r="E487" s="2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5">
      <c r="A488" s="4"/>
      <c r="B488" s="4"/>
      <c r="C488" s="4"/>
      <c r="D488" s="25"/>
      <c r="E488" s="2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5">
      <c r="A489" s="4"/>
      <c r="B489" s="4"/>
      <c r="C489" s="4"/>
      <c r="D489" s="25"/>
      <c r="E489" s="2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5">
      <c r="A490" s="4"/>
      <c r="B490" s="4"/>
      <c r="C490" s="4"/>
      <c r="D490" s="25"/>
      <c r="E490" s="2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5">
      <c r="A491" s="4"/>
      <c r="B491" s="4"/>
      <c r="C491" s="4"/>
      <c r="D491" s="25"/>
      <c r="E491" s="2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5">
      <c r="A492" s="4"/>
      <c r="B492" s="4"/>
      <c r="C492" s="4"/>
      <c r="D492" s="25"/>
      <c r="E492" s="2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5">
      <c r="A493" s="4"/>
      <c r="B493" s="4"/>
      <c r="C493" s="4"/>
      <c r="D493" s="25"/>
      <c r="E493" s="2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5">
      <c r="A494" s="4"/>
      <c r="B494" s="4"/>
      <c r="C494" s="4"/>
      <c r="D494" s="25"/>
      <c r="E494" s="2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5">
      <c r="A495" s="4"/>
      <c r="B495" s="4"/>
      <c r="C495" s="4"/>
      <c r="D495" s="25"/>
      <c r="E495" s="2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5">
      <c r="A496" s="4"/>
      <c r="B496" s="4"/>
      <c r="C496" s="4"/>
      <c r="D496" s="25"/>
      <c r="E496" s="2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5">
      <c r="A497" s="4"/>
      <c r="B497" s="4"/>
      <c r="C497" s="4"/>
      <c r="D497" s="25"/>
      <c r="E497" s="2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5">
      <c r="A498" s="4"/>
      <c r="B498" s="4"/>
      <c r="C498" s="4"/>
      <c r="D498" s="25"/>
      <c r="E498" s="2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5">
      <c r="A499" s="4"/>
      <c r="B499" s="4"/>
      <c r="C499" s="4"/>
      <c r="D499" s="25"/>
      <c r="E499" s="2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5">
      <c r="A500" s="4"/>
      <c r="B500" s="4"/>
      <c r="C500" s="4"/>
      <c r="D500" s="25"/>
      <c r="E500" s="2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5">
      <c r="A501" s="4"/>
      <c r="B501" s="4"/>
      <c r="C501" s="4"/>
      <c r="D501" s="25"/>
      <c r="E501" s="2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5">
      <c r="A502" s="4"/>
      <c r="B502" s="4"/>
      <c r="C502" s="4"/>
      <c r="D502" s="25"/>
      <c r="E502" s="2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5">
      <c r="A503" s="4"/>
      <c r="B503" s="4"/>
      <c r="C503" s="4"/>
      <c r="D503" s="25"/>
      <c r="E503" s="2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5">
      <c r="A504" s="4"/>
      <c r="B504" s="4"/>
      <c r="C504" s="4"/>
      <c r="D504" s="25"/>
      <c r="E504" s="2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5">
      <c r="A505" s="4"/>
      <c r="B505" s="4"/>
      <c r="C505" s="4"/>
      <c r="D505" s="25"/>
      <c r="E505" s="2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5">
      <c r="A506" s="4"/>
      <c r="B506" s="4"/>
      <c r="C506" s="4"/>
      <c r="D506" s="25"/>
      <c r="E506" s="2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5">
      <c r="A507" s="4"/>
      <c r="B507" s="4"/>
      <c r="C507" s="4"/>
      <c r="D507" s="25"/>
      <c r="E507" s="2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5">
      <c r="A508" s="4"/>
      <c r="B508" s="4"/>
      <c r="C508" s="4"/>
      <c r="D508" s="25"/>
      <c r="E508" s="2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5">
      <c r="A509" s="4"/>
      <c r="B509" s="4"/>
      <c r="C509" s="4"/>
      <c r="D509" s="25"/>
      <c r="E509" s="2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5">
      <c r="A510" s="4"/>
      <c r="B510" s="4"/>
      <c r="C510" s="4"/>
      <c r="D510" s="25"/>
      <c r="E510" s="2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5">
      <c r="A511" s="4"/>
      <c r="B511" s="4"/>
      <c r="C511" s="4"/>
      <c r="D511" s="25"/>
      <c r="E511" s="2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5">
      <c r="A512" s="4"/>
      <c r="B512" s="4"/>
      <c r="C512" s="4"/>
      <c r="D512" s="25"/>
      <c r="E512" s="2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5">
      <c r="A513" s="4"/>
      <c r="B513" s="4"/>
      <c r="C513" s="4"/>
      <c r="D513" s="25"/>
      <c r="E513" s="2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5">
      <c r="A514" s="4"/>
      <c r="B514" s="4"/>
      <c r="C514" s="4"/>
      <c r="D514" s="25"/>
      <c r="E514" s="2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5">
      <c r="A515" s="4"/>
      <c r="B515" s="4"/>
      <c r="C515" s="4"/>
      <c r="D515" s="25"/>
      <c r="E515" s="2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5">
      <c r="A516" s="4"/>
      <c r="B516" s="4"/>
      <c r="C516" s="4"/>
      <c r="D516" s="25"/>
      <c r="E516" s="2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5">
      <c r="A517" s="4"/>
      <c r="B517" s="4"/>
      <c r="C517" s="4"/>
      <c r="D517" s="25"/>
      <c r="E517" s="2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5">
      <c r="A518" s="4"/>
      <c r="B518" s="4"/>
      <c r="C518" s="4"/>
      <c r="D518" s="25"/>
      <c r="E518" s="2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5">
      <c r="A519" s="4"/>
      <c r="B519" s="4"/>
      <c r="C519" s="4"/>
      <c r="D519" s="25"/>
      <c r="E519" s="2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5">
      <c r="A520" s="4"/>
      <c r="B520" s="4"/>
      <c r="C520" s="4"/>
      <c r="D520" s="25"/>
      <c r="E520" s="2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5">
      <c r="A521" s="4"/>
      <c r="B521" s="4"/>
      <c r="C521" s="4"/>
      <c r="D521" s="25"/>
      <c r="E521" s="2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5">
      <c r="A522" s="4"/>
      <c r="B522" s="4"/>
      <c r="C522" s="4"/>
      <c r="D522" s="25"/>
      <c r="E522" s="2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5">
      <c r="A523" s="4"/>
      <c r="B523" s="4"/>
      <c r="C523" s="4"/>
      <c r="D523" s="25"/>
      <c r="E523" s="2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5">
      <c r="A524" s="4"/>
      <c r="B524" s="4"/>
      <c r="C524" s="4"/>
      <c r="D524" s="25"/>
      <c r="E524" s="2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5">
      <c r="A525" s="4"/>
      <c r="B525" s="4"/>
      <c r="C525" s="4"/>
      <c r="D525" s="25"/>
      <c r="E525" s="2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5">
      <c r="A526" s="4"/>
      <c r="B526" s="4"/>
      <c r="C526" s="4"/>
      <c r="D526" s="25"/>
      <c r="E526" s="2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5">
      <c r="A527" s="4"/>
      <c r="B527" s="4"/>
      <c r="C527" s="4"/>
      <c r="D527" s="25"/>
      <c r="E527" s="2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5">
      <c r="A528" s="4"/>
      <c r="B528" s="4"/>
      <c r="C528" s="4"/>
      <c r="D528" s="25"/>
      <c r="E528" s="2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5">
      <c r="A529" s="4"/>
      <c r="B529" s="4"/>
      <c r="C529" s="4"/>
      <c r="D529" s="25"/>
      <c r="E529" s="2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5">
      <c r="A530" s="4"/>
      <c r="B530" s="4"/>
      <c r="C530" s="4"/>
      <c r="D530" s="25"/>
      <c r="E530" s="2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5">
      <c r="A531" s="4"/>
      <c r="B531" s="4"/>
      <c r="C531" s="4"/>
      <c r="D531" s="25"/>
      <c r="E531" s="2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5">
      <c r="A532" s="4"/>
      <c r="B532" s="4"/>
      <c r="C532" s="4"/>
      <c r="D532" s="25"/>
      <c r="E532" s="2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5">
      <c r="A533" s="4"/>
      <c r="B533" s="4"/>
      <c r="C533" s="4"/>
      <c r="D533" s="25"/>
      <c r="E533" s="2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5">
      <c r="A534" s="4"/>
      <c r="B534" s="4"/>
      <c r="C534" s="4"/>
      <c r="D534" s="25"/>
      <c r="E534" s="2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5">
      <c r="A535" s="4"/>
      <c r="B535" s="4"/>
      <c r="C535" s="4"/>
      <c r="D535" s="25"/>
      <c r="E535" s="2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5">
      <c r="A536" s="4"/>
      <c r="B536" s="4"/>
      <c r="C536" s="4"/>
      <c r="D536" s="25"/>
      <c r="E536" s="2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5">
      <c r="A537" s="4"/>
      <c r="B537" s="4"/>
      <c r="C537" s="4"/>
      <c r="D537" s="25"/>
      <c r="E537" s="2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5">
      <c r="A538" s="4"/>
      <c r="B538" s="4"/>
      <c r="C538" s="4"/>
      <c r="D538" s="25"/>
      <c r="E538" s="2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5">
      <c r="A539" s="4"/>
      <c r="B539" s="4"/>
      <c r="C539" s="4"/>
      <c r="D539" s="25"/>
      <c r="E539" s="2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5">
      <c r="A540" s="4"/>
      <c r="B540" s="4"/>
      <c r="C540" s="4"/>
      <c r="D540" s="25"/>
      <c r="E540" s="2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5">
      <c r="A541" s="4"/>
      <c r="B541" s="4"/>
      <c r="C541" s="4"/>
      <c r="D541" s="25"/>
      <c r="E541" s="2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5">
      <c r="A542" s="4"/>
      <c r="B542" s="4"/>
      <c r="C542" s="4"/>
      <c r="D542" s="25"/>
      <c r="E542" s="2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5">
      <c r="A543" s="4"/>
      <c r="B543" s="4"/>
      <c r="C543" s="4"/>
      <c r="D543" s="25"/>
      <c r="E543" s="2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5">
      <c r="A544" s="4"/>
      <c r="B544" s="4"/>
      <c r="C544" s="4"/>
      <c r="D544" s="25"/>
      <c r="E544" s="2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5">
      <c r="A545" s="4"/>
      <c r="B545" s="4"/>
      <c r="C545" s="4"/>
      <c r="D545" s="25"/>
      <c r="E545" s="2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5">
      <c r="A546" s="4"/>
      <c r="B546" s="4"/>
      <c r="C546" s="4"/>
      <c r="D546" s="25"/>
      <c r="E546" s="2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5">
      <c r="A547" s="4"/>
      <c r="B547" s="4"/>
      <c r="C547" s="4"/>
      <c r="D547" s="25"/>
      <c r="E547" s="2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5">
      <c r="A548" s="4"/>
      <c r="B548" s="4"/>
      <c r="C548" s="4"/>
      <c r="D548" s="25"/>
      <c r="E548" s="2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5">
      <c r="A549" s="4"/>
      <c r="B549" s="4"/>
      <c r="C549" s="4"/>
      <c r="D549" s="25"/>
      <c r="E549" s="2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5">
      <c r="A550" s="4"/>
      <c r="B550" s="4"/>
      <c r="C550" s="4"/>
      <c r="D550" s="25"/>
      <c r="E550" s="2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5">
      <c r="A551" s="4"/>
      <c r="B551" s="4"/>
      <c r="C551" s="4"/>
      <c r="D551" s="25"/>
      <c r="E551" s="2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5">
      <c r="A552" s="4"/>
      <c r="B552" s="4"/>
      <c r="C552" s="4"/>
      <c r="D552" s="25"/>
      <c r="E552" s="2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5">
      <c r="A553" s="4"/>
      <c r="B553" s="4"/>
      <c r="C553" s="4"/>
      <c r="D553" s="25"/>
      <c r="E553" s="2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5">
      <c r="A554" s="4"/>
      <c r="B554" s="4"/>
      <c r="C554" s="4"/>
      <c r="D554" s="25"/>
      <c r="E554" s="2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5">
      <c r="A555" s="4"/>
      <c r="B555" s="4"/>
      <c r="C555" s="4"/>
      <c r="D555" s="25"/>
      <c r="E555" s="2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5">
      <c r="A556" s="4"/>
      <c r="B556" s="4"/>
      <c r="C556" s="4"/>
      <c r="D556" s="25"/>
      <c r="E556" s="2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5">
      <c r="A557" s="4"/>
      <c r="B557" s="4"/>
      <c r="C557" s="4"/>
      <c r="D557" s="25"/>
      <c r="E557" s="2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5">
      <c r="A558" s="4"/>
      <c r="B558" s="4"/>
      <c r="C558" s="4"/>
      <c r="D558" s="25"/>
      <c r="E558" s="2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5">
      <c r="A559" s="4"/>
      <c r="B559" s="4"/>
      <c r="C559" s="4"/>
      <c r="D559" s="25"/>
      <c r="E559" s="2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5">
      <c r="A560" s="4"/>
      <c r="B560" s="4"/>
      <c r="C560" s="4"/>
      <c r="D560" s="25"/>
      <c r="E560" s="2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5">
      <c r="A561" s="4"/>
      <c r="B561" s="4"/>
      <c r="C561" s="4"/>
      <c r="D561" s="25"/>
      <c r="E561" s="2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5">
      <c r="A562" s="4"/>
      <c r="B562" s="4"/>
      <c r="C562" s="4"/>
      <c r="D562" s="25"/>
      <c r="E562" s="2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5">
      <c r="A563" s="4"/>
      <c r="B563" s="4"/>
      <c r="C563" s="4"/>
      <c r="D563" s="25"/>
      <c r="E563" s="2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5">
      <c r="A564" s="4"/>
      <c r="B564" s="4"/>
      <c r="C564" s="4"/>
      <c r="D564" s="25"/>
      <c r="E564" s="2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5">
      <c r="A565" s="4"/>
      <c r="B565" s="4"/>
      <c r="C565" s="4"/>
      <c r="D565" s="25"/>
      <c r="E565" s="2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5">
      <c r="A566" s="4"/>
      <c r="B566" s="4"/>
      <c r="C566" s="4"/>
      <c r="D566" s="25"/>
      <c r="E566" s="2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5">
      <c r="A567" s="4"/>
      <c r="B567" s="4"/>
      <c r="C567" s="4"/>
      <c r="D567" s="25"/>
      <c r="E567" s="2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5">
      <c r="A568" s="4"/>
      <c r="B568" s="4"/>
      <c r="C568" s="4"/>
      <c r="D568" s="25"/>
      <c r="E568" s="2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5">
      <c r="A569" s="4"/>
      <c r="B569" s="4"/>
      <c r="C569" s="4"/>
      <c r="D569" s="25"/>
      <c r="E569" s="2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5">
      <c r="A570" s="4"/>
      <c r="B570" s="4"/>
      <c r="C570" s="4"/>
      <c r="D570" s="25"/>
      <c r="E570" s="2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5">
      <c r="A571" s="4"/>
      <c r="B571" s="4"/>
      <c r="C571" s="4"/>
      <c r="D571" s="25"/>
      <c r="E571" s="2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5">
      <c r="A572" s="4"/>
      <c r="B572" s="4"/>
      <c r="C572" s="4"/>
      <c r="D572" s="25"/>
      <c r="E572" s="2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5">
      <c r="A573" s="4"/>
      <c r="B573" s="4"/>
      <c r="C573" s="4"/>
      <c r="D573" s="25"/>
      <c r="E573" s="2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5">
      <c r="A574" s="4"/>
      <c r="B574" s="4"/>
      <c r="C574" s="4"/>
      <c r="D574" s="25"/>
      <c r="E574" s="2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5">
      <c r="A575" s="4"/>
      <c r="B575" s="4"/>
      <c r="C575" s="4"/>
      <c r="D575" s="25"/>
      <c r="E575" s="2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5">
      <c r="A576" s="4"/>
      <c r="B576" s="4"/>
      <c r="C576" s="4"/>
      <c r="D576" s="25"/>
      <c r="E576" s="2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5">
      <c r="A577" s="4"/>
      <c r="B577" s="4"/>
      <c r="C577" s="4"/>
      <c r="D577" s="25"/>
      <c r="E577" s="2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5">
      <c r="A578" s="4"/>
      <c r="B578" s="4"/>
      <c r="C578" s="4"/>
      <c r="D578" s="25"/>
      <c r="E578" s="2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5">
      <c r="A579" s="4"/>
      <c r="B579" s="4"/>
      <c r="C579" s="4"/>
      <c r="D579" s="25"/>
      <c r="E579" s="2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5">
      <c r="A580" s="4"/>
      <c r="B580" s="4"/>
      <c r="C580" s="4"/>
      <c r="D580" s="25"/>
      <c r="E580" s="2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5">
      <c r="A581" s="4"/>
      <c r="B581" s="4"/>
      <c r="C581" s="4"/>
      <c r="D581" s="25"/>
      <c r="E581" s="2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5">
      <c r="A582" s="4"/>
      <c r="B582" s="4"/>
      <c r="C582" s="4"/>
      <c r="D582" s="25"/>
      <c r="E582" s="2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5">
      <c r="A583" s="4"/>
      <c r="B583" s="4"/>
      <c r="C583" s="4"/>
      <c r="D583" s="25"/>
      <c r="E583" s="2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5">
      <c r="A584" s="4"/>
      <c r="B584" s="4"/>
      <c r="C584" s="4"/>
      <c r="D584" s="25"/>
      <c r="E584" s="2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5">
      <c r="A585" s="4"/>
      <c r="B585" s="4"/>
      <c r="C585" s="4"/>
      <c r="D585" s="25"/>
      <c r="E585" s="2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5">
      <c r="A586" s="4"/>
      <c r="B586" s="4"/>
      <c r="C586" s="4"/>
      <c r="D586" s="25"/>
      <c r="E586" s="2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5">
      <c r="A587" s="4"/>
      <c r="B587" s="4"/>
      <c r="C587" s="4"/>
      <c r="D587" s="25"/>
      <c r="E587" s="2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5">
      <c r="A588" s="4"/>
      <c r="B588" s="4"/>
      <c r="C588" s="4"/>
      <c r="D588" s="25"/>
      <c r="E588" s="2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5">
      <c r="A589" s="4"/>
      <c r="B589" s="4"/>
      <c r="C589" s="4"/>
      <c r="D589" s="25"/>
      <c r="E589" s="2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5">
      <c r="A590" s="4"/>
      <c r="B590" s="4"/>
      <c r="C590" s="4"/>
      <c r="D590" s="25"/>
      <c r="E590" s="2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5">
      <c r="A591" s="4"/>
      <c r="B591" s="4"/>
      <c r="C591" s="4"/>
      <c r="D591" s="25"/>
      <c r="E591" s="2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5">
      <c r="A592" s="4"/>
      <c r="B592" s="4"/>
      <c r="C592" s="4"/>
      <c r="D592" s="25"/>
      <c r="E592" s="2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5">
      <c r="A593" s="4"/>
      <c r="B593" s="4"/>
      <c r="C593" s="4"/>
      <c r="D593" s="25"/>
      <c r="E593" s="2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5">
      <c r="A594" s="4"/>
      <c r="B594" s="4"/>
      <c r="C594" s="4"/>
      <c r="D594" s="25"/>
      <c r="E594" s="2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5">
      <c r="A595" s="4"/>
      <c r="B595" s="4"/>
      <c r="C595" s="4"/>
      <c r="D595" s="25"/>
      <c r="E595" s="2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5">
      <c r="A596" s="4"/>
      <c r="B596" s="4"/>
      <c r="C596" s="4"/>
      <c r="D596" s="25"/>
      <c r="E596" s="2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5">
      <c r="A597" s="4"/>
      <c r="B597" s="4"/>
      <c r="C597" s="4"/>
      <c r="D597" s="25"/>
      <c r="E597" s="2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5">
      <c r="A598" s="4"/>
      <c r="B598" s="4"/>
      <c r="C598" s="4"/>
      <c r="D598" s="25"/>
      <c r="E598" s="2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5">
      <c r="A599" s="4"/>
      <c r="B599" s="4"/>
      <c r="C599" s="4"/>
      <c r="D599" s="25"/>
      <c r="E599" s="2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5">
      <c r="A600" s="4"/>
      <c r="B600" s="4"/>
      <c r="C600" s="4"/>
      <c r="D600" s="25"/>
      <c r="E600" s="2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5">
      <c r="A601" s="4"/>
      <c r="B601" s="4"/>
      <c r="C601" s="4"/>
      <c r="D601" s="25"/>
      <c r="E601" s="2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5">
      <c r="A602" s="4"/>
      <c r="B602" s="4"/>
      <c r="C602" s="4"/>
      <c r="D602" s="25"/>
      <c r="E602" s="2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5">
      <c r="A603" s="4"/>
      <c r="B603" s="4"/>
      <c r="C603" s="4"/>
      <c r="D603" s="25"/>
      <c r="E603" s="2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5">
      <c r="A604" s="4"/>
      <c r="B604" s="4"/>
      <c r="C604" s="4"/>
      <c r="D604" s="25"/>
      <c r="E604" s="2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5">
      <c r="A605" s="4"/>
      <c r="B605" s="4"/>
      <c r="C605" s="4"/>
      <c r="D605" s="25"/>
      <c r="E605" s="2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5">
      <c r="A606" s="4"/>
      <c r="B606" s="4"/>
      <c r="C606" s="4"/>
      <c r="D606" s="25"/>
      <c r="E606" s="2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5">
      <c r="A607" s="4"/>
      <c r="B607" s="4"/>
      <c r="C607" s="4"/>
      <c r="D607" s="25"/>
      <c r="E607" s="2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5">
      <c r="A608" s="4"/>
      <c r="B608" s="4"/>
      <c r="C608" s="4"/>
      <c r="D608" s="25"/>
      <c r="E608" s="2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5">
      <c r="A609" s="4"/>
      <c r="B609" s="4"/>
      <c r="C609" s="4"/>
      <c r="D609" s="25"/>
      <c r="E609" s="2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5">
      <c r="A610" s="4"/>
      <c r="B610" s="4"/>
      <c r="C610" s="4"/>
      <c r="D610" s="25"/>
      <c r="E610" s="2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5">
      <c r="A611" s="4"/>
      <c r="B611" s="4"/>
      <c r="C611" s="4"/>
      <c r="D611" s="25"/>
      <c r="E611" s="2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5">
      <c r="A612" s="4"/>
      <c r="B612" s="4"/>
      <c r="C612" s="4"/>
      <c r="D612" s="25"/>
      <c r="E612" s="2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5">
      <c r="A613" s="4"/>
      <c r="B613" s="4"/>
      <c r="C613" s="4"/>
      <c r="D613" s="25"/>
      <c r="E613" s="2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5">
      <c r="A614" s="4"/>
      <c r="B614" s="4"/>
      <c r="C614" s="4"/>
      <c r="D614" s="25"/>
      <c r="E614" s="2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5">
      <c r="A615" s="4"/>
      <c r="B615" s="4"/>
      <c r="C615" s="4"/>
      <c r="D615" s="25"/>
      <c r="E615" s="2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5">
      <c r="A616" s="4"/>
      <c r="B616" s="4"/>
      <c r="C616" s="4"/>
      <c r="D616" s="25"/>
      <c r="E616" s="2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5">
      <c r="A617" s="4"/>
      <c r="B617" s="4"/>
      <c r="C617" s="4"/>
      <c r="D617" s="25"/>
      <c r="E617" s="2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5">
      <c r="A618" s="4"/>
      <c r="B618" s="4"/>
      <c r="C618" s="4"/>
      <c r="D618" s="25"/>
      <c r="E618" s="2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5">
      <c r="A619" s="4"/>
      <c r="B619" s="4"/>
      <c r="C619" s="4"/>
      <c r="D619" s="25"/>
      <c r="E619" s="2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5">
      <c r="A620" s="4"/>
      <c r="B620" s="4"/>
      <c r="C620" s="4"/>
      <c r="D620" s="25"/>
      <c r="E620" s="2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5">
      <c r="A621" s="4"/>
      <c r="B621" s="4"/>
      <c r="C621" s="4"/>
      <c r="D621" s="25"/>
      <c r="E621" s="2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5">
      <c r="A622" s="4"/>
      <c r="B622" s="4"/>
      <c r="C622" s="4"/>
      <c r="D622" s="25"/>
      <c r="E622" s="2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5">
      <c r="A623" s="4"/>
      <c r="B623" s="4"/>
      <c r="C623" s="4"/>
      <c r="D623" s="25"/>
      <c r="E623" s="2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5">
      <c r="A624" s="4"/>
      <c r="B624" s="4"/>
      <c r="C624" s="4"/>
      <c r="D624" s="25"/>
      <c r="E624" s="2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5">
      <c r="A625" s="4"/>
      <c r="B625" s="4"/>
      <c r="C625" s="4"/>
      <c r="D625" s="25"/>
      <c r="E625" s="2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5">
      <c r="A626" s="4"/>
      <c r="B626" s="4"/>
      <c r="C626" s="4"/>
      <c r="D626" s="25"/>
      <c r="E626" s="2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5">
      <c r="A627" s="4"/>
      <c r="B627" s="4"/>
      <c r="C627" s="4"/>
      <c r="D627" s="25"/>
      <c r="E627" s="2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5">
      <c r="A628" s="4"/>
      <c r="B628" s="4"/>
      <c r="C628" s="4"/>
      <c r="D628" s="25"/>
      <c r="E628" s="2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5">
      <c r="A629" s="4"/>
      <c r="B629" s="4"/>
      <c r="C629" s="4"/>
      <c r="D629" s="25"/>
      <c r="E629" s="2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5">
      <c r="A630" s="4"/>
      <c r="B630" s="4"/>
      <c r="C630" s="4"/>
      <c r="D630" s="25"/>
      <c r="E630" s="2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5">
      <c r="A631" s="4"/>
      <c r="B631" s="4"/>
      <c r="C631" s="4"/>
      <c r="D631" s="25"/>
      <c r="E631" s="2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5">
      <c r="A632" s="4"/>
      <c r="B632" s="4"/>
      <c r="C632" s="4"/>
      <c r="D632" s="25"/>
      <c r="E632" s="2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5">
      <c r="A633" s="4"/>
      <c r="B633" s="4"/>
      <c r="C633" s="4"/>
      <c r="D633" s="25"/>
      <c r="E633" s="2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5">
      <c r="A634" s="4"/>
      <c r="B634" s="4"/>
      <c r="C634" s="4"/>
      <c r="D634" s="25"/>
      <c r="E634" s="2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5">
      <c r="A635" s="4"/>
      <c r="B635" s="4"/>
      <c r="C635" s="4"/>
      <c r="D635" s="25"/>
      <c r="E635" s="2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5">
      <c r="A636" s="4"/>
      <c r="B636" s="4"/>
      <c r="C636" s="4"/>
      <c r="D636" s="25"/>
      <c r="E636" s="2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5">
      <c r="A637" s="4"/>
      <c r="B637" s="4"/>
      <c r="C637" s="4"/>
      <c r="D637" s="25"/>
      <c r="E637" s="2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5">
      <c r="A638" s="4"/>
      <c r="B638" s="4"/>
      <c r="C638" s="4"/>
      <c r="D638" s="25"/>
      <c r="E638" s="2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5">
      <c r="A639" s="4"/>
      <c r="B639" s="4"/>
      <c r="C639" s="4"/>
      <c r="D639" s="25"/>
      <c r="E639" s="2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5">
      <c r="A640" s="4"/>
      <c r="B640" s="4"/>
      <c r="C640" s="4"/>
      <c r="D640" s="25"/>
      <c r="E640" s="2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5">
      <c r="A641" s="4"/>
      <c r="B641" s="4"/>
      <c r="C641" s="4"/>
      <c r="D641" s="25"/>
      <c r="E641" s="2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5">
      <c r="A642" s="4"/>
      <c r="B642" s="4"/>
      <c r="C642" s="4"/>
      <c r="D642" s="25"/>
      <c r="E642" s="2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5">
      <c r="A643" s="4"/>
      <c r="B643" s="4"/>
      <c r="C643" s="4"/>
      <c r="D643" s="25"/>
      <c r="E643" s="2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5">
      <c r="A644" s="4"/>
      <c r="B644" s="4"/>
      <c r="C644" s="4"/>
      <c r="D644" s="25"/>
      <c r="E644" s="2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5">
      <c r="A645" s="4"/>
      <c r="B645" s="4"/>
      <c r="C645" s="4"/>
      <c r="D645" s="25"/>
      <c r="E645" s="2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5">
      <c r="A646" s="4"/>
      <c r="B646" s="4"/>
      <c r="C646" s="4"/>
      <c r="D646" s="25"/>
      <c r="E646" s="2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5">
      <c r="A647" s="4"/>
      <c r="B647" s="4"/>
      <c r="C647" s="4"/>
      <c r="D647" s="25"/>
      <c r="E647" s="2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5">
      <c r="A648" s="4"/>
      <c r="B648" s="4"/>
      <c r="C648" s="4"/>
      <c r="D648" s="25"/>
      <c r="E648" s="2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5">
      <c r="A649" s="4"/>
      <c r="B649" s="4"/>
      <c r="C649" s="4"/>
      <c r="D649" s="25"/>
      <c r="E649" s="2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5">
      <c r="A650" s="4"/>
      <c r="B650" s="4"/>
      <c r="C650" s="4"/>
      <c r="D650" s="25"/>
      <c r="E650" s="2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5">
      <c r="A651" s="4"/>
      <c r="B651" s="4"/>
      <c r="C651" s="4"/>
      <c r="D651" s="25"/>
      <c r="E651" s="2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5">
      <c r="A652" s="4"/>
      <c r="B652" s="4"/>
      <c r="C652" s="4"/>
      <c r="D652" s="25"/>
      <c r="E652" s="2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5">
      <c r="A653" s="4"/>
      <c r="B653" s="4"/>
      <c r="C653" s="4"/>
      <c r="D653" s="25"/>
      <c r="E653" s="2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5">
      <c r="A654" s="4"/>
      <c r="B654" s="4"/>
      <c r="C654" s="4"/>
      <c r="D654" s="25"/>
      <c r="E654" s="2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5">
      <c r="A655" s="4"/>
      <c r="B655" s="4"/>
      <c r="C655" s="4"/>
      <c r="D655" s="25"/>
      <c r="E655" s="2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5">
      <c r="A656" s="4"/>
      <c r="B656" s="4"/>
      <c r="C656" s="4"/>
      <c r="D656" s="25"/>
      <c r="E656" s="2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5">
      <c r="A657" s="4"/>
      <c r="B657" s="4"/>
      <c r="C657" s="4"/>
      <c r="D657" s="25"/>
      <c r="E657" s="2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5">
      <c r="A658" s="4"/>
      <c r="B658" s="4"/>
      <c r="C658" s="4"/>
      <c r="D658" s="25"/>
      <c r="E658" s="2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5">
      <c r="A659" s="4"/>
      <c r="B659" s="4"/>
      <c r="C659" s="4"/>
      <c r="D659" s="25"/>
      <c r="E659" s="2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5">
      <c r="A660" s="4"/>
      <c r="B660" s="4"/>
      <c r="C660" s="4"/>
      <c r="D660" s="25"/>
      <c r="E660" s="2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5">
      <c r="A661" s="4"/>
      <c r="B661" s="4"/>
      <c r="C661" s="4"/>
      <c r="D661" s="25"/>
      <c r="E661" s="2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5">
      <c r="A662" s="4"/>
      <c r="B662" s="4"/>
      <c r="C662" s="4"/>
      <c r="D662" s="25"/>
      <c r="E662" s="2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5">
      <c r="A663" s="4"/>
      <c r="B663" s="4"/>
      <c r="C663" s="4"/>
      <c r="D663" s="25"/>
      <c r="E663" s="2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5">
      <c r="A664" s="4"/>
      <c r="B664" s="4"/>
      <c r="C664" s="4"/>
      <c r="D664" s="25"/>
      <c r="E664" s="2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5">
      <c r="A665" s="4"/>
      <c r="B665" s="4"/>
      <c r="C665" s="4"/>
      <c r="D665" s="25"/>
      <c r="E665" s="2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5">
      <c r="A666" s="4"/>
      <c r="B666" s="4"/>
      <c r="C666" s="4"/>
      <c r="D666" s="25"/>
      <c r="E666" s="2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5">
      <c r="A667" s="4"/>
      <c r="B667" s="4"/>
      <c r="C667" s="4"/>
      <c r="D667" s="25"/>
      <c r="E667" s="2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5">
      <c r="A668" s="4"/>
      <c r="B668" s="4"/>
      <c r="C668" s="4"/>
      <c r="D668" s="25"/>
      <c r="E668" s="2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5">
      <c r="A669" s="4"/>
      <c r="B669" s="4"/>
      <c r="C669" s="4"/>
      <c r="D669" s="25"/>
      <c r="E669" s="2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5">
      <c r="A670" s="4"/>
      <c r="B670" s="4"/>
      <c r="C670" s="4"/>
      <c r="D670" s="25"/>
      <c r="E670" s="2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5">
      <c r="A671" s="4"/>
      <c r="B671" s="4"/>
      <c r="C671" s="4"/>
      <c r="D671" s="25"/>
      <c r="E671" s="2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5">
      <c r="A672" s="4"/>
      <c r="B672" s="4"/>
      <c r="C672" s="4"/>
      <c r="D672" s="25"/>
      <c r="E672" s="2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5">
      <c r="A673" s="4"/>
      <c r="B673" s="4"/>
      <c r="C673" s="4"/>
      <c r="D673" s="25"/>
      <c r="E673" s="2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5">
      <c r="A674" s="4"/>
      <c r="B674" s="4"/>
      <c r="C674" s="4"/>
      <c r="D674" s="25"/>
      <c r="E674" s="2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5">
      <c r="A675" s="4"/>
      <c r="B675" s="4"/>
      <c r="C675" s="4"/>
      <c r="D675" s="25"/>
      <c r="E675" s="2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5">
      <c r="A676" s="4"/>
      <c r="B676" s="4"/>
      <c r="C676" s="4"/>
      <c r="D676" s="25"/>
      <c r="E676" s="2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5">
      <c r="A677" s="4"/>
      <c r="B677" s="4"/>
      <c r="C677" s="4"/>
      <c r="D677" s="25"/>
      <c r="E677" s="2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5">
      <c r="A678" s="4"/>
      <c r="B678" s="4"/>
      <c r="C678" s="4"/>
      <c r="D678" s="25"/>
      <c r="E678" s="2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5">
      <c r="A679" s="4"/>
      <c r="B679" s="4"/>
      <c r="C679" s="4"/>
      <c r="D679" s="25"/>
      <c r="E679" s="2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5">
      <c r="A680" s="4"/>
      <c r="B680" s="4"/>
      <c r="C680" s="4"/>
      <c r="D680" s="25"/>
      <c r="E680" s="2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5">
      <c r="A681" s="4"/>
      <c r="B681" s="4"/>
      <c r="C681" s="4"/>
      <c r="D681" s="25"/>
      <c r="E681" s="2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5">
      <c r="A682" s="4"/>
      <c r="B682" s="4"/>
      <c r="C682" s="4"/>
      <c r="D682" s="25"/>
      <c r="E682" s="2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5">
      <c r="A683" s="4"/>
      <c r="B683" s="4"/>
      <c r="C683" s="4"/>
      <c r="D683" s="25"/>
      <c r="E683" s="2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5">
      <c r="A684" s="4"/>
      <c r="B684" s="4"/>
      <c r="C684" s="4"/>
      <c r="D684" s="25"/>
      <c r="E684" s="2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5">
      <c r="A685" s="4"/>
      <c r="B685" s="4"/>
      <c r="C685" s="4"/>
      <c r="D685" s="25"/>
      <c r="E685" s="2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5">
      <c r="A686" s="4"/>
      <c r="B686" s="4"/>
      <c r="C686" s="4"/>
      <c r="D686" s="25"/>
      <c r="E686" s="2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5">
      <c r="A687" s="4"/>
      <c r="B687" s="4"/>
      <c r="C687" s="4"/>
      <c r="D687" s="25"/>
      <c r="E687" s="2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5">
      <c r="A688" s="4"/>
      <c r="B688" s="4"/>
      <c r="C688" s="4"/>
      <c r="D688" s="25"/>
      <c r="E688" s="2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5">
      <c r="A689" s="4"/>
      <c r="B689" s="4"/>
      <c r="C689" s="4"/>
      <c r="D689" s="25"/>
      <c r="E689" s="2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5">
      <c r="A690" s="4"/>
      <c r="B690" s="4"/>
      <c r="C690" s="4"/>
      <c r="D690" s="25"/>
      <c r="E690" s="2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5">
      <c r="A691" s="4"/>
      <c r="B691" s="4"/>
      <c r="C691" s="4"/>
      <c r="D691" s="25"/>
      <c r="E691" s="2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5">
      <c r="A692" s="4"/>
      <c r="B692" s="4"/>
      <c r="C692" s="4"/>
      <c r="D692" s="25"/>
      <c r="E692" s="2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5">
      <c r="A693" s="4"/>
      <c r="B693" s="4"/>
      <c r="C693" s="4"/>
      <c r="D693" s="25"/>
      <c r="E693" s="2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5">
      <c r="A694" s="4"/>
      <c r="B694" s="4"/>
      <c r="C694" s="4"/>
      <c r="D694" s="25"/>
      <c r="E694" s="2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5">
      <c r="A695" s="4"/>
      <c r="B695" s="4"/>
      <c r="C695" s="4"/>
      <c r="D695" s="25"/>
      <c r="E695" s="2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5">
      <c r="A696" s="4"/>
      <c r="B696" s="4"/>
      <c r="C696" s="4"/>
      <c r="D696" s="25"/>
      <c r="E696" s="2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5">
      <c r="A697" s="4"/>
      <c r="B697" s="4"/>
      <c r="C697" s="4"/>
      <c r="D697" s="25"/>
      <c r="E697" s="2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5">
      <c r="A698" s="4"/>
      <c r="B698" s="4"/>
      <c r="C698" s="4"/>
      <c r="D698" s="25"/>
      <c r="E698" s="2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5">
      <c r="A699" s="4"/>
      <c r="B699" s="4"/>
      <c r="C699" s="4"/>
      <c r="D699" s="25"/>
      <c r="E699" s="2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5">
      <c r="A700" s="4"/>
      <c r="B700" s="4"/>
      <c r="C700" s="4"/>
      <c r="D700" s="25"/>
      <c r="E700" s="2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5">
      <c r="A701" s="4"/>
      <c r="B701" s="4"/>
      <c r="C701" s="4"/>
      <c r="D701" s="25"/>
      <c r="E701" s="2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5">
      <c r="A702" s="4"/>
      <c r="B702" s="4"/>
      <c r="C702" s="4"/>
      <c r="D702" s="25"/>
      <c r="E702" s="2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5">
      <c r="A703" s="4"/>
      <c r="B703" s="4"/>
      <c r="C703" s="4"/>
      <c r="D703" s="25"/>
      <c r="E703" s="2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5">
      <c r="A704" s="4"/>
      <c r="B704" s="4"/>
      <c r="C704" s="4"/>
      <c r="D704" s="25"/>
      <c r="E704" s="2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5">
      <c r="A705" s="4"/>
      <c r="B705" s="4"/>
      <c r="C705" s="4"/>
      <c r="D705" s="25"/>
      <c r="E705" s="2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5">
      <c r="A706" s="4"/>
      <c r="B706" s="4"/>
      <c r="C706" s="4"/>
      <c r="D706" s="25"/>
      <c r="E706" s="2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5">
      <c r="A707" s="4"/>
      <c r="B707" s="4"/>
      <c r="C707" s="4"/>
      <c r="D707" s="25"/>
      <c r="E707" s="2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5">
      <c r="A708" s="4"/>
      <c r="B708" s="4"/>
      <c r="C708" s="4"/>
      <c r="D708" s="25"/>
      <c r="E708" s="2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5">
      <c r="A709" s="4"/>
      <c r="B709" s="4"/>
      <c r="C709" s="4"/>
      <c r="D709" s="25"/>
      <c r="E709" s="2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5">
      <c r="A710" s="4"/>
      <c r="B710" s="4"/>
      <c r="C710" s="4"/>
      <c r="D710" s="25"/>
      <c r="E710" s="2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5">
      <c r="A711" s="4"/>
      <c r="B711" s="4"/>
      <c r="C711" s="4"/>
      <c r="D711" s="25"/>
      <c r="E711" s="2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5">
      <c r="A712" s="4"/>
      <c r="B712" s="4"/>
      <c r="C712" s="4"/>
      <c r="D712" s="25"/>
      <c r="E712" s="2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5">
      <c r="A713" s="4"/>
      <c r="B713" s="4"/>
      <c r="C713" s="4"/>
      <c r="D713" s="25"/>
      <c r="E713" s="2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5">
      <c r="A714" s="4"/>
      <c r="B714" s="4"/>
      <c r="C714" s="4"/>
      <c r="D714" s="25"/>
      <c r="E714" s="2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5">
      <c r="A715" s="4"/>
      <c r="B715" s="4"/>
      <c r="C715" s="4"/>
      <c r="D715" s="25"/>
      <c r="E715" s="2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5">
      <c r="A716" s="4"/>
      <c r="B716" s="4"/>
      <c r="C716" s="4"/>
      <c r="D716" s="25"/>
      <c r="E716" s="2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5">
      <c r="A717" s="4"/>
      <c r="B717" s="4"/>
      <c r="C717" s="4"/>
      <c r="D717" s="25"/>
      <c r="E717" s="2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5">
      <c r="A718" s="4"/>
      <c r="B718" s="4"/>
      <c r="C718" s="4"/>
      <c r="D718" s="25"/>
      <c r="E718" s="2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5">
      <c r="A719" s="4"/>
      <c r="B719" s="4"/>
      <c r="C719" s="4"/>
      <c r="D719" s="25"/>
      <c r="E719" s="2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5">
      <c r="A720" s="4"/>
      <c r="B720" s="4"/>
      <c r="C720" s="4"/>
      <c r="D720" s="25"/>
      <c r="E720" s="2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5">
      <c r="A721" s="4"/>
      <c r="B721" s="4"/>
      <c r="C721" s="4"/>
      <c r="D721" s="25"/>
      <c r="E721" s="2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5">
      <c r="A722" s="4"/>
      <c r="B722" s="4"/>
      <c r="C722" s="4"/>
      <c r="D722" s="25"/>
      <c r="E722" s="2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5">
      <c r="A723" s="4"/>
      <c r="B723" s="4"/>
      <c r="C723" s="4"/>
      <c r="D723" s="25"/>
      <c r="E723" s="2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5">
      <c r="A724" s="4"/>
      <c r="B724" s="4"/>
      <c r="C724" s="4"/>
      <c r="D724" s="25"/>
      <c r="E724" s="2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5">
      <c r="A725" s="4"/>
      <c r="B725" s="4"/>
      <c r="C725" s="4"/>
      <c r="D725" s="25"/>
      <c r="E725" s="2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5">
      <c r="A726" s="4"/>
      <c r="B726" s="4"/>
      <c r="C726" s="4"/>
      <c r="D726" s="25"/>
      <c r="E726" s="2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5">
      <c r="A727" s="4"/>
      <c r="B727" s="4"/>
      <c r="C727" s="4"/>
      <c r="D727" s="25"/>
      <c r="E727" s="2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5">
      <c r="A728" s="4"/>
      <c r="B728" s="4"/>
      <c r="C728" s="4"/>
      <c r="D728" s="25"/>
      <c r="E728" s="2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5">
      <c r="A729" s="4"/>
      <c r="B729" s="4"/>
      <c r="C729" s="4"/>
      <c r="D729" s="25"/>
      <c r="E729" s="2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5">
      <c r="A730" s="4"/>
      <c r="B730" s="4"/>
      <c r="C730" s="4"/>
      <c r="D730" s="25"/>
      <c r="E730" s="2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5">
      <c r="A731" s="4"/>
      <c r="B731" s="4"/>
      <c r="C731" s="4"/>
      <c r="D731" s="25"/>
      <c r="E731" s="2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5">
      <c r="A732" s="4"/>
      <c r="B732" s="4"/>
      <c r="C732" s="4"/>
      <c r="D732" s="25"/>
      <c r="E732" s="2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5">
      <c r="A733" s="4"/>
      <c r="B733" s="4"/>
      <c r="C733" s="4"/>
      <c r="D733" s="25"/>
      <c r="E733" s="2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5">
      <c r="A734" s="4"/>
      <c r="B734" s="4"/>
      <c r="C734" s="4"/>
      <c r="D734" s="25"/>
      <c r="E734" s="2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5">
      <c r="A735" s="4"/>
      <c r="B735" s="4"/>
      <c r="C735" s="4"/>
      <c r="D735" s="25"/>
      <c r="E735" s="2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5">
      <c r="A736" s="4"/>
      <c r="B736" s="4"/>
      <c r="C736" s="4"/>
      <c r="D736" s="25"/>
      <c r="E736" s="2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5">
      <c r="A737" s="4"/>
      <c r="B737" s="4"/>
      <c r="C737" s="4"/>
      <c r="D737" s="25"/>
      <c r="E737" s="2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5">
      <c r="A738" s="4"/>
      <c r="B738" s="4"/>
      <c r="C738" s="4"/>
      <c r="D738" s="25"/>
      <c r="E738" s="2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5">
      <c r="A739" s="4"/>
      <c r="B739" s="4"/>
      <c r="C739" s="4"/>
      <c r="D739" s="25"/>
      <c r="E739" s="2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5">
      <c r="A740" s="4"/>
      <c r="B740" s="4"/>
      <c r="C740" s="4"/>
      <c r="D740" s="25"/>
      <c r="E740" s="2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5">
      <c r="A741" s="4"/>
      <c r="B741" s="4"/>
      <c r="C741" s="4"/>
      <c r="D741" s="25"/>
      <c r="E741" s="2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5">
      <c r="A742" s="4"/>
      <c r="B742" s="4"/>
      <c r="C742" s="4"/>
      <c r="D742" s="25"/>
      <c r="E742" s="2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5">
      <c r="A743" s="4"/>
      <c r="B743" s="4"/>
      <c r="C743" s="4"/>
      <c r="D743" s="25"/>
      <c r="E743" s="2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5">
      <c r="A744" s="4"/>
      <c r="B744" s="4"/>
      <c r="C744" s="4"/>
      <c r="D744" s="25"/>
      <c r="E744" s="2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5">
      <c r="A745" s="4"/>
      <c r="B745" s="4"/>
      <c r="C745" s="4"/>
      <c r="D745" s="25"/>
      <c r="E745" s="2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5">
      <c r="A746" s="4"/>
      <c r="B746" s="4"/>
      <c r="C746" s="4"/>
      <c r="D746" s="25"/>
      <c r="E746" s="2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5">
      <c r="A747" s="4"/>
      <c r="B747" s="4"/>
      <c r="C747" s="4"/>
      <c r="D747" s="25"/>
      <c r="E747" s="2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5">
      <c r="A748" s="4"/>
      <c r="B748" s="4"/>
      <c r="C748" s="4"/>
      <c r="D748" s="25"/>
      <c r="E748" s="2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5">
      <c r="A749" s="4"/>
      <c r="B749" s="4"/>
      <c r="C749" s="4"/>
      <c r="D749" s="25"/>
      <c r="E749" s="2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5">
      <c r="A750" s="4"/>
      <c r="B750" s="4"/>
      <c r="C750" s="4"/>
      <c r="D750" s="25"/>
      <c r="E750" s="2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5">
      <c r="A751" s="4"/>
      <c r="B751" s="4"/>
      <c r="C751" s="4"/>
      <c r="D751" s="25"/>
      <c r="E751" s="2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5">
      <c r="A752" s="4"/>
      <c r="B752" s="4"/>
      <c r="C752" s="4"/>
      <c r="D752" s="25"/>
      <c r="E752" s="2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5">
      <c r="A753" s="4"/>
      <c r="B753" s="4"/>
      <c r="C753" s="4"/>
      <c r="D753" s="25"/>
      <c r="E753" s="2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5">
      <c r="A754" s="4"/>
      <c r="B754" s="4"/>
      <c r="C754" s="4"/>
      <c r="D754" s="25"/>
      <c r="E754" s="2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5">
      <c r="A755" s="4"/>
      <c r="B755" s="4"/>
      <c r="C755" s="4"/>
      <c r="D755" s="25"/>
      <c r="E755" s="2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5">
      <c r="A756" s="4"/>
      <c r="B756" s="4"/>
      <c r="C756" s="4"/>
      <c r="D756" s="25"/>
      <c r="E756" s="2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5">
      <c r="A757" s="4"/>
      <c r="B757" s="4"/>
      <c r="C757" s="4"/>
      <c r="D757" s="25"/>
      <c r="E757" s="2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5">
      <c r="A758" s="4"/>
      <c r="B758" s="4"/>
      <c r="C758" s="4"/>
      <c r="D758" s="25"/>
      <c r="E758" s="2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5">
      <c r="A759" s="4"/>
      <c r="B759" s="4"/>
      <c r="C759" s="4"/>
      <c r="D759" s="25"/>
      <c r="E759" s="2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5">
      <c r="A760" s="4"/>
      <c r="B760" s="4"/>
      <c r="C760" s="4"/>
      <c r="D760" s="25"/>
      <c r="E760" s="2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5">
      <c r="A761" s="4"/>
      <c r="B761" s="4"/>
      <c r="C761" s="4"/>
      <c r="D761" s="25"/>
      <c r="E761" s="2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5">
      <c r="A762" s="4"/>
      <c r="B762" s="4"/>
      <c r="C762" s="4"/>
      <c r="D762" s="25"/>
      <c r="E762" s="2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5">
      <c r="A763" s="4"/>
      <c r="B763" s="4"/>
      <c r="C763" s="4"/>
      <c r="D763" s="25"/>
      <c r="E763" s="2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5">
      <c r="A764" s="4"/>
      <c r="B764" s="4"/>
      <c r="C764" s="4"/>
      <c r="D764" s="25"/>
      <c r="E764" s="2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5">
      <c r="A765" s="4"/>
      <c r="B765" s="4"/>
      <c r="C765" s="4"/>
      <c r="D765" s="25"/>
      <c r="E765" s="2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5">
      <c r="A766" s="4"/>
      <c r="B766" s="4"/>
      <c r="C766" s="4"/>
      <c r="D766" s="25"/>
      <c r="E766" s="2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5">
      <c r="A767" s="4"/>
      <c r="B767" s="4"/>
      <c r="C767" s="4"/>
      <c r="D767" s="25"/>
      <c r="E767" s="2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5">
      <c r="A768" s="4"/>
      <c r="B768" s="4"/>
      <c r="C768" s="4"/>
      <c r="D768" s="25"/>
      <c r="E768" s="2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5">
      <c r="A769" s="4"/>
      <c r="B769" s="4"/>
      <c r="C769" s="4"/>
      <c r="D769" s="25"/>
      <c r="E769" s="2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5">
      <c r="A770" s="4"/>
      <c r="B770" s="4"/>
      <c r="C770" s="4"/>
      <c r="D770" s="25"/>
      <c r="E770" s="2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5">
      <c r="A771" s="4"/>
      <c r="B771" s="4"/>
      <c r="C771" s="4"/>
      <c r="D771" s="25"/>
      <c r="E771" s="2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5">
      <c r="A772" s="4"/>
      <c r="B772" s="4"/>
      <c r="C772" s="4"/>
      <c r="D772" s="25"/>
      <c r="E772" s="2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5">
      <c r="A773" s="4"/>
      <c r="B773" s="4"/>
      <c r="C773" s="4"/>
      <c r="D773" s="25"/>
      <c r="E773" s="2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5">
      <c r="A774" s="4"/>
      <c r="B774" s="4"/>
      <c r="C774" s="4"/>
      <c r="D774" s="25"/>
      <c r="E774" s="2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5">
      <c r="A775" s="4"/>
      <c r="B775" s="4"/>
      <c r="C775" s="4"/>
      <c r="D775" s="25"/>
      <c r="E775" s="2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5">
      <c r="A776" s="4"/>
      <c r="B776" s="4"/>
      <c r="C776" s="4"/>
      <c r="D776" s="25"/>
      <c r="E776" s="2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5">
      <c r="A777" s="4"/>
      <c r="B777" s="4"/>
      <c r="C777" s="4"/>
      <c r="D777" s="25"/>
      <c r="E777" s="2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5">
      <c r="A778" s="4"/>
      <c r="B778" s="4"/>
      <c r="C778" s="4"/>
      <c r="D778" s="25"/>
      <c r="E778" s="2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5">
      <c r="A779" s="4"/>
      <c r="B779" s="4"/>
      <c r="C779" s="4"/>
      <c r="D779" s="25"/>
      <c r="E779" s="2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5">
      <c r="A780" s="4"/>
      <c r="B780" s="4"/>
      <c r="C780" s="4"/>
      <c r="D780" s="25"/>
      <c r="E780" s="2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5">
      <c r="A781" s="4"/>
      <c r="B781" s="4"/>
      <c r="C781" s="4"/>
      <c r="D781" s="25"/>
      <c r="E781" s="2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5">
      <c r="A782" s="4"/>
      <c r="B782" s="4"/>
      <c r="C782" s="4"/>
      <c r="D782" s="25"/>
      <c r="E782" s="2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5">
      <c r="A783" s="4"/>
      <c r="B783" s="4"/>
      <c r="C783" s="4"/>
      <c r="D783" s="25"/>
      <c r="E783" s="2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5">
      <c r="A784" s="4"/>
      <c r="B784" s="4"/>
      <c r="C784" s="4"/>
      <c r="D784" s="25"/>
      <c r="E784" s="2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5">
      <c r="A785" s="4"/>
      <c r="B785" s="4"/>
      <c r="C785" s="4"/>
      <c r="D785" s="25"/>
      <c r="E785" s="2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5">
      <c r="A786" s="4"/>
      <c r="B786" s="4"/>
      <c r="C786" s="4"/>
      <c r="D786" s="25"/>
      <c r="E786" s="2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5">
      <c r="A787" s="4"/>
      <c r="B787" s="4"/>
      <c r="C787" s="4"/>
      <c r="D787" s="25"/>
      <c r="E787" s="2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5">
      <c r="A788" s="4"/>
      <c r="B788" s="4"/>
      <c r="C788" s="4"/>
      <c r="D788" s="25"/>
      <c r="E788" s="2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5">
      <c r="A789" s="4"/>
      <c r="B789" s="4"/>
      <c r="C789" s="4"/>
      <c r="D789" s="25"/>
      <c r="E789" s="2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5">
      <c r="A790" s="4"/>
      <c r="B790" s="4"/>
      <c r="C790" s="4"/>
      <c r="D790" s="25"/>
      <c r="E790" s="2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5">
      <c r="A791" s="4"/>
      <c r="B791" s="4"/>
      <c r="C791" s="4"/>
      <c r="D791" s="25"/>
      <c r="E791" s="2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5">
      <c r="A792" s="4"/>
      <c r="B792" s="4"/>
      <c r="C792" s="4"/>
      <c r="D792" s="25"/>
      <c r="E792" s="2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5">
      <c r="A793" s="4"/>
      <c r="B793" s="4"/>
      <c r="C793" s="4"/>
      <c r="D793" s="25"/>
      <c r="E793" s="2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5">
      <c r="A794" s="4"/>
      <c r="B794" s="4"/>
      <c r="C794" s="4"/>
      <c r="D794" s="25"/>
      <c r="E794" s="2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5">
      <c r="A795" s="4"/>
      <c r="B795" s="4"/>
      <c r="C795" s="4"/>
      <c r="D795" s="25"/>
      <c r="E795" s="2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5">
      <c r="A796" s="4"/>
      <c r="B796" s="4"/>
      <c r="C796" s="4"/>
      <c r="D796" s="25"/>
      <c r="E796" s="2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5">
      <c r="A797" s="4"/>
      <c r="B797" s="4"/>
      <c r="C797" s="4"/>
      <c r="D797" s="25"/>
      <c r="E797" s="2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5">
      <c r="A798" s="4"/>
      <c r="B798" s="4"/>
      <c r="C798" s="4"/>
      <c r="D798" s="25"/>
      <c r="E798" s="2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5">
      <c r="A799" s="4"/>
      <c r="B799" s="4"/>
      <c r="C799" s="4"/>
      <c r="D799" s="25"/>
      <c r="E799" s="2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5">
      <c r="A800" s="4"/>
      <c r="B800" s="4"/>
      <c r="C800" s="4"/>
      <c r="D800" s="25"/>
      <c r="E800" s="2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5">
      <c r="A801" s="4"/>
      <c r="B801" s="4"/>
      <c r="C801" s="4"/>
      <c r="D801" s="25"/>
      <c r="E801" s="2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5">
      <c r="A802" s="4"/>
      <c r="B802" s="4"/>
      <c r="C802" s="4"/>
      <c r="D802" s="25"/>
      <c r="E802" s="2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5">
      <c r="A803" s="4"/>
      <c r="B803" s="4"/>
      <c r="C803" s="4"/>
      <c r="D803" s="25"/>
      <c r="E803" s="2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5">
      <c r="A804" s="4"/>
      <c r="B804" s="4"/>
      <c r="C804" s="4"/>
      <c r="D804" s="25"/>
      <c r="E804" s="2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5">
      <c r="A805" s="4"/>
      <c r="B805" s="4"/>
      <c r="C805" s="4"/>
      <c r="D805" s="25"/>
      <c r="E805" s="2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5">
      <c r="A806" s="4"/>
      <c r="B806" s="4"/>
      <c r="C806" s="4"/>
      <c r="D806" s="25"/>
      <c r="E806" s="2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5">
      <c r="A807" s="4"/>
      <c r="B807" s="4"/>
      <c r="C807" s="4"/>
      <c r="D807" s="25"/>
      <c r="E807" s="2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5">
      <c r="A808" s="4"/>
      <c r="B808" s="4"/>
      <c r="C808" s="4"/>
      <c r="D808" s="25"/>
      <c r="E808" s="2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5">
      <c r="A809" s="4"/>
      <c r="B809" s="4"/>
      <c r="C809" s="4"/>
      <c r="D809" s="25"/>
      <c r="E809" s="2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5">
      <c r="A810" s="4"/>
      <c r="B810" s="4"/>
      <c r="C810" s="4"/>
      <c r="D810" s="25"/>
      <c r="E810" s="2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5">
      <c r="A811" s="4"/>
      <c r="B811" s="4"/>
      <c r="C811" s="4"/>
      <c r="D811" s="25"/>
      <c r="E811" s="2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5">
      <c r="A812" s="4"/>
      <c r="B812" s="4"/>
      <c r="C812" s="4"/>
      <c r="D812" s="25"/>
      <c r="E812" s="2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5">
      <c r="A813" s="4"/>
      <c r="B813" s="4"/>
      <c r="C813" s="4"/>
      <c r="D813" s="25"/>
      <c r="E813" s="2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5">
      <c r="A814" s="4"/>
      <c r="B814" s="4"/>
      <c r="C814" s="4"/>
      <c r="D814" s="25"/>
      <c r="E814" s="2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5">
      <c r="A815" s="4"/>
      <c r="B815" s="4"/>
      <c r="C815" s="4"/>
      <c r="D815" s="25"/>
      <c r="E815" s="2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5">
      <c r="A816" s="4"/>
      <c r="B816" s="4"/>
      <c r="C816" s="4"/>
      <c r="D816" s="25"/>
      <c r="E816" s="2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5">
      <c r="A817" s="4"/>
      <c r="B817" s="4"/>
      <c r="C817" s="4"/>
      <c r="D817" s="25"/>
      <c r="E817" s="2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5">
      <c r="A818" s="4"/>
      <c r="B818" s="4"/>
      <c r="C818" s="4"/>
      <c r="D818" s="25"/>
      <c r="E818" s="2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5">
      <c r="A819" s="4"/>
      <c r="B819" s="4"/>
      <c r="C819" s="4"/>
      <c r="D819" s="25"/>
      <c r="E819" s="2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5">
      <c r="A820" s="4"/>
      <c r="B820" s="4"/>
      <c r="C820" s="4"/>
      <c r="D820" s="25"/>
      <c r="E820" s="2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5">
      <c r="A821" s="4"/>
      <c r="B821" s="4"/>
      <c r="C821" s="4"/>
      <c r="D821" s="25"/>
      <c r="E821" s="2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5">
      <c r="A822" s="4"/>
      <c r="B822" s="4"/>
      <c r="C822" s="4"/>
      <c r="D822" s="25"/>
      <c r="E822" s="2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5">
      <c r="A823" s="4"/>
      <c r="B823" s="4"/>
      <c r="C823" s="4"/>
      <c r="D823" s="25"/>
      <c r="E823" s="2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5">
      <c r="A824" s="4"/>
      <c r="B824" s="4"/>
      <c r="C824" s="4"/>
      <c r="D824" s="25"/>
      <c r="E824" s="2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5">
      <c r="A825" s="4"/>
      <c r="B825" s="4"/>
      <c r="C825" s="4"/>
      <c r="D825" s="25"/>
      <c r="E825" s="2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5">
      <c r="A826" s="4"/>
      <c r="B826" s="4"/>
      <c r="C826" s="4"/>
      <c r="D826" s="25"/>
      <c r="E826" s="2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5">
      <c r="A827" s="4"/>
      <c r="B827" s="4"/>
      <c r="C827" s="4"/>
      <c r="D827" s="25"/>
      <c r="E827" s="2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5">
      <c r="A828" s="4"/>
      <c r="B828" s="4"/>
      <c r="C828" s="4"/>
      <c r="D828" s="25"/>
      <c r="E828" s="2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5">
      <c r="A829" s="4"/>
      <c r="B829" s="4"/>
      <c r="C829" s="4"/>
      <c r="D829" s="25"/>
      <c r="E829" s="2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5">
      <c r="A830" s="4"/>
      <c r="B830" s="4"/>
      <c r="C830" s="4"/>
      <c r="D830" s="25"/>
      <c r="E830" s="2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5">
      <c r="A831" s="4"/>
      <c r="B831" s="4"/>
      <c r="C831" s="4"/>
      <c r="D831" s="25"/>
      <c r="E831" s="2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5">
      <c r="A832" s="4"/>
      <c r="B832" s="4"/>
      <c r="C832" s="4"/>
      <c r="D832" s="25"/>
      <c r="E832" s="2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5">
      <c r="A833" s="4"/>
      <c r="B833" s="4"/>
      <c r="C833" s="4"/>
      <c r="D833" s="25"/>
      <c r="E833" s="2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5">
      <c r="A834" s="4"/>
      <c r="B834" s="4"/>
      <c r="C834" s="4"/>
      <c r="D834" s="25"/>
      <c r="E834" s="2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5">
      <c r="A835" s="4"/>
      <c r="B835" s="4"/>
      <c r="C835" s="4"/>
      <c r="D835" s="25"/>
      <c r="E835" s="2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5">
      <c r="A836" s="4"/>
      <c r="B836" s="4"/>
      <c r="C836" s="4"/>
      <c r="D836" s="25"/>
      <c r="E836" s="2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5">
      <c r="A837" s="4"/>
      <c r="B837" s="4"/>
      <c r="C837" s="4"/>
      <c r="D837" s="25"/>
      <c r="E837" s="2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5">
      <c r="A838" s="4"/>
      <c r="B838" s="4"/>
      <c r="C838" s="4"/>
      <c r="D838" s="25"/>
      <c r="E838" s="2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5">
      <c r="A839" s="4"/>
      <c r="B839" s="4"/>
      <c r="C839" s="4"/>
      <c r="D839" s="25"/>
      <c r="E839" s="2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5">
      <c r="A840" s="4"/>
      <c r="B840" s="4"/>
      <c r="C840" s="4"/>
      <c r="D840" s="25"/>
      <c r="E840" s="2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5">
      <c r="A841" s="4"/>
      <c r="B841" s="4"/>
      <c r="C841" s="4"/>
      <c r="D841" s="25"/>
      <c r="E841" s="2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5">
      <c r="A842" s="4"/>
      <c r="B842" s="4"/>
      <c r="C842" s="4"/>
      <c r="D842" s="25"/>
      <c r="E842" s="2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5">
      <c r="A843" s="4"/>
      <c r="B843" s="4"/>
      <c r="C843" s="4"/>
      <c r="D843" s="25"/>
      <c r="E843" s="2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5">
      <c r="A844" s="4"/>
      <c r="B844" s="4"/>
      <c r="C844" s="4"/>
      <c r="D844" s="25"/>
      <c r="E844" s="2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5">
      <c r="A845" s="4"/>
      <c r="B845" s="4"/>
      <c r="C845" s="4"/>
      <c r="D845" s="25"/>
      <c r="E845" s="2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5">
      <c r="A846" s="4"/>
      <c r="B846" s="4"/>
      <c r="C846" s="4"/>
      <c r="D846" s="25"/>
      <c r="E846" s="2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5">
      <c r="A847" s="4"/>
      <c r="B847" s="4"/>
      <c r="C847" s="4"/>
      <c r="D847" s="25"/>
      <c r="E847" s="2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5">
      <c r="A848" s="4"/>
      <c r="B848" s="4"/>
      <c r="C848" s="4"/>
      <c r="D848" s="25"/>
      <c r="E848" s="2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5">
      <c r="A849" s="4"/>
      <c r="B849" s="4"/>
      <c r="C849" s="4"/>
      <c r="D849" s="25"/>
      <c r="E849" s="2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5">
      <c r="A850" s="4"/>
      <c r="B850" s="4"/>
      <c r="C850" s="4"/>
      <c r="D850" s="25"/>
      <c r="E850" s="2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5">
      <c r="A851" s="4"/>
      <c r="B851" s="4"/>
      <c r="C851" s="4"/>
      <c r="D851" s="25"/>
      <c r="E851" s="2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5">
      <c r="A852" s="4"/>
      <c r="B852" s="4"/>
      <c r="C852" s="4"/>
      <c r="D852" s="25"/>
      <c r="E852" s="2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5">
      <c r="A853" s="4"/>
      <c r="B853" s="4"/>
      <c r="C853" s="4"/>
      <c r="D853" s="25"/>
      <c r="E853" s="2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5">
      <c r="A854" s="4"/>
      <c r="B854" s="4"/>
      <c r="C854" s="4"/>
      <c r="D854" s="25"/>
      <c r="E854" s="2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5">
      <c r="A855" s="4"/>
      <c r="B855" s="4"/>
      <c r="C855" s="4"/>
      <c r="D855" s="25"/>
      <c r="E855" s="2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5">
      <c r="A856" s="4"/>
      <c r="B856" s="4"/>
      <c r="C856" s="4"/>
      <c r="D856" s="25"/>
      <c r="E856" s="2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5">
      <c r="A857" s="4"/>
      <c r="B857" s="4"/>
      <c r="C857" s="4"/>
      <c r="D857" s="25"/>
      <c r="E857" s="2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5">
      <c r="A858" s="4"/>
      <c r="B858" s="4"/>
      <c r="C858" s="4"/>
      <c r="D858" s="25"/>
      <c r="E858" s="2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5">
      <c r="A859" s="4"/>
      <c r="B859" s="4"/>
      <c r="C859" s="4"/>
      <c r="D859" s="25"/>
      <c r="E859" s="2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5">
      <c r="A860" s="4"/>
      <c r="B860" s="4"/>
      <c r="C860" s="4"/>
      <c r="D860" s="25"/>
      <c r="E860" s="2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5">
      <c r="A861" s="4"/>
      <c r="B861" s="4"/>
      <c r="C861" s="4"/>
      <c r="D861" s="25"/>
      <c r="E861" s="2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5">
      <c r="A862" s="4"/>
      <c r="B862" s="4"/>
      <c r="C862" s="4"/>
      <c r="D862" s="25"/>
      <c r="E862" s="2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5">
      <c r="A863" s="4"/>
      <c r="B863" s="4"/>
      <c r="C863" s="4"/>
      <c r="D863" s="25"/>
      <c r="E863" s="2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5">
      <c r="A864" s="4"/>
      <c r="B864" s="4"/>
      <c r="C864" s="4"/>
      <c r="D864" s="25"/>
      <c r="E864" s="2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5">
      <c r="A865" s="4"/>
      <c r="B865" s="4"/>
      <c r="C865" s="4"/>
      <c r="D865" s="25"/>
      <c r="E865" s="2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5">
      <c r="A866" s="4"/>
      <c r="B866" s="4"/>
      <c r="C866" s="4"/>
      <c r="D866" s="25"/>
      <c r="E866" s="2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5">
      <c r="A867" s="4"/>
      <c r="B867" s="4"/>
      <c r="C867" s="4"/>
      <c r="D867" s="25"/>
      <c r="E867" s="2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5">
      <c r="A868" s="4"/>
      <c r="B868" s="4"/>
      <c r="C868" s="4"/>
      <c r="D868" s="25"/>
      <c r="E868" s="2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5">
      <c r="A869" s="4"/>
      <c r="B869" s="4"/>
      <c r="C869" s="4"/>
      <c r="D869" s="25"/>
      <c r="E869" s="2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5">
      <c r="A870" s="4"/>
      <c r="B870" s="4"/>
      <c r="C870" s="4"/>
      <c r="D870" s="25"/>
      <c r="E870" s="2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5">
      <c r="A871" s="4"/>
      <c r="B871" s="4"/>
      <c r="C871" s="4"/>
      <c r="D871" s="25"/>
      <c r="E871" s="2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5">
      <c r="A872" s="4"/>
      <c r="B872" s="4"/>
      <c r="C872" s="4"/>
      <c r="D872" s="25"/>
      <c r="E872" s="2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5">
      <c r="A873" s="4"/>
      <c r="B873" s="4"/>
      <c r="C873" s="4"/>
      <c r="D873" s="25"/>
      <c r="E873" s="2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5">
      <c r="A874" s="4"/>
      <c r="B874" s="4"/>
      <c r="C874" s="4"/>
      <c r="D874" s="25"/>
      <c r="E874" s="2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5">
      <c r="A875" s="4"/>
      <c r="B875" s="4"/>
      <c r="C875" s="4"/>
      <c r="D875" s="25"/>
      <c r="E875" s="2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5">
      <c r="A876" s="4"/>
      <c r="B876" s="4"/>
      <c r="C876" s="4"/>
      <c r="D876" s="25"/>
      <c r="E876" s="2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5">
      <c r="A877" s="4"/>
      <c r="B877" s="4"/>
      <c r="C877" s="4"/>
      <c r="D877" s="25"/>
      <c r="E877" s="2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5">
      <c r="A878" s="4"/>
      <c r="B878" s="4"/>
      <c r="C878" s="4"/>
      <c r="D878" s="25"/>
      <c r="E878" s="2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5">
      <c r="A879" s="4"/>
      <c r="B879" s="4"/>
      <c r="C879" s="4"/>
      <c r="D879" s="25"/>
      <c r="E879" s="2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5">
      <c r="A880" s="4"/>
      <c r="B880" s="4"/>
      <c r="C880" s="4"/>
      <c r="D880" s="25"/>
      <c r="E880" s="2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5">
      <c r="A881" s="4"/>
      <c r="B881" s="4"/>
      <c r="C881" s="4"/>
      <c r="D881" s="25"/>
      <c r="E881" s="2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5">
      <c r="A882" s="4"/>
      <c r="B882" s="4"/>
      <c r="C882" s="4"/>
      <c r="D882" s="25"/>
      <c r="E882" s="2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5">
      <c r="A883" s="4"/>
      <c r="B883" s="4"/>
      <c r="C883" s="4"/>
      <c r="D883" s="25"/>
      <c r="E883" s="2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5">
      <c r="A884" s="4"/>
      <c r="B884" s="4"/>
      <c r="C884" s="4"/>
      <c r="D884" s="25"/>
      <c r="E884" s="2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5">
      <c r="A885" s="4"/>
      <c r="B885" s="4"/>
      <c r="C885" s="4"/>
      <c r="D885" s="25"/>
      <c r="E885" s="2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5">
      <c r="A886" s="4"/>
      <c r="B886" s="4"/>
      <c r="C886" s="4"/>
      <c r="D886" s="25"/>
      <c r="E886" s="2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5">
      <c r="A887" s="4"/>
      <c r="B887" s="4"/>
      <c r="C887" s="4"/>
      <c r="D887" s="25"/>
      <c r="E887" s="2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5">
      <c r="A888" s="4"/>
      <c r="B888" s="4"/>
      <c r="C888" s="4"/>
      <c r="D888" s="25"/>
      <c r="E888" s="2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5">
      <c r="A889" s="4"/>
      <c r="B889" s="4"/>
      <c r="C889" s="4"/>
      <c r="D889" s="25"/>
      <c r="E889" s="2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5">
      <c r="A890" s="4"/>
      <c r="B890" s="4"/>
      <c r="C890" s="4"/>
      <c r="D890" s="25"/>
      <c r="E890" s="2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5">
      <c r="A891" s="4"/>
      <c r="B891" s="4"/>
      <c r="C891" s="4"/>
      <c r="D891" s="25"/>
      <c r="E891" s="2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5">
      <c r="A892" s="4"/>
      <c r="B892" s="4"/>
      <c r="C892" s="4"/>
      <c r="D892" s="25"/>
      <c r="E892" s="2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5">
      <c r="A893" s="4"/>
      <c r="B893" s="4"/>
      <c r="C893" s="4"/>
      <c r="D893" s="25"/>
      <c r="E893" s="2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5">
      <c r="A894" s="4"/>
      <c r="B894" s="4"/>
      <c r="C894" s="4"/>
      <c r="D894" s="25"/>
      <c r="E894" s="2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5">
      <c r="A895" s="4"/>
      <c r="B895" s="4"/>
      <c r="C895" s="4"/>
      <c r="D895" s="25"/>
      <c r="E895" s="2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5">
      <c r="A896" s="4"/>
      <c r="B896" s="4"/>
      <c r="C896" s="4"/>
      <c r="D896" s="25"/>
      <c r="E896" s="2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5">
      <c r="A897" s="4"/>
      <c r="B897" s="4"/>
      <c r="C897" s="4"/>
      <c r="D897" s="25"/>
      <c r="E897" s="2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5">
      <c r="A898" s="4"/>
      <c r="B898" s="4"/>
      <c r="C898" s="4"/>
      <c r="D898" s="25"/>
      <c r="E898" s="2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5">
      <c r="A899" s="4"/>
      <c r="B899" s="4"/>
      <c r="C899" s="4"/>
      <c r="D899" s="25"/>
      <c r="E899" s="2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5">
      <c r="A900" s="4"/>
      <c r="B900" s="4"/>
      <c r="C900" s="4"/>
      <c r="D900" s="25"/>
      <c r="E900" s="2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5">
      <c r="A901" s="4"/>
      <c r="B901" s="4"/>
      <c r="C901" s="4"/>
      <c r="D901" s="25"/>
      <c r="E901" s="2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5">
      <c r="A902" s="4"/>
      <c r="B902" s="4"/>
      <c r="C902" s="4"/>
      <c r="D902" s="25"/>
      <c r="E902" s="2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5">
      <c r="A903" s="4"/>
      <c r="B903" s="4"/>
      <c r="C903" s="4"/>
      <c r="D903" s="25"/>
      <c r="E903" s="2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5">
      <c r="A904" s="4"/>
      <c r="B904" s="4"/>
      <c r="C904" s="4"/>
      <c r="D904" s="25"/>
      <c r="E904" s="2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5">
      <c r="A905" s="4"/>
      <c r="B905" s="4"/>
      <c r="C905" s="4"/>
      <c r="D905" s="25"/>
      <c r="E905" s="2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5">
      <c r="A906" s="4"/>
      <c r="B906" s="4"/>
      <c r="C906" s="4"/>
      <c r="D906" s="25"/>
      <c r="E906" s="2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5">
      <c r="A907" s="4"/>
      <c r="B907" s="4"/>
      <c r="C907" s="4"/>
      <c r="D907" s="25"/>
      <c r="E907" s="2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5">
      <c r="A908" s="4"/>
      <c r="B908" s="4"/>
      <c r="C908" s="4"/>
      <c r="D908" s="25"/>
      <c r="E908" s="2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5">
      <c r="A909" s="4"/>
      <c r="B909" s="4"/>
      <c r="C909" s="4"/>
      <c r="D909" s="25"/>
      <c r="E909" s="2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5">
      <c r="A910" s="4"/>
      <c r="B910" s="4"/>
      <c r="C910" s="4"/>
      <c r="D910" s="25"/>
      <c r="E910" s="2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5">
      <c r="A911" s="4"/>
      <c r="B911" s="4"/>
      <c r="C911" s="4"/>
      <c r="D911" s="25"/>
      <c r="E911" s="2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5">
      <c r="A912" s="4"/>
      <c r="B912" s="4"/>
      <c r="C912" s="4"/>
      <c r="D912" s="25"/>
      <c r="E912" s="2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5">
      <c r="A913" s="4"/>
      <c r="B913" s="4"/>
      <c r="C913" s="4"/>
      <c r="D913" s="25"/>
      <c r="E913" s="2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5">
      <c r="A914" s="4"/>
      <c r="B914" s="4"/>
      <c r="C914" s="4"/>
      <c r="D914" s="25"/>
      <c r="E914" s="2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5">
      <c r="A915" s="4"/>
      <c r="B915" s="4"/>
      <c r="C915" s="4"/>
      <c r="D915" s="25"/>
      <c r="E915" s="2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5">
      <c r="A916" s="4"/>
      <c r="B916" s="4"/>
      <c r="C916" s="4"/>
      <c r="D916" s="25"/>
      <c r="E916" s="2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5">
      <c r="A917" s="4"/>
      <c r="B917" s="4"/>
      <c r="C917" s="4"/>
      <c r="D917" s="25"/>
      <c r="E917" s="2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5">
      <c r="A918" s="4"/>
      <c r="B918" s="4"/>
      <c r="C918" s="4"/>
      <c r="D918" s="25"/>
      <c r="E918" s="2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5">
      <c r="A919" s="4"/>
      <c r="B919" s="4"/>
      <c r="C919" s="4"/>
      <c r="D919" s="25"/>
      <c r="E919" s="2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5">
      <c r="A920" s="4"/>
      <c r="B920" s="4"/>
      <c r="C920" s="4"/>
      <c r="D920" s="25"/>
      <c r="E920" s="2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5">
      <c r="A921" s="4"/>
      <c r="B921" s="4"/>
      <c r="C921" s="4"/>
      <c r="D921" s="25"/>
      <c r="E921" s="2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5">
      <c r="A922" s="4"/>
      <c r="B922" s="4"/>
      <c r="C922" s="4"/>
      <c r="D922" s="25"/>
      <c r="E922" s="2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5">
      <c r="A923" s="4"/>
      <c r="B923" s="4"/>
      <c r="C923" s="4"/>
      <c r="D923" s="25"/>
      <c r="E923" s="2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5">
      <c r="A924" s="4"/>
      <c r="B924" s="4"/>
      <c r="C924" s="4"/>
      <c r="D924" s="25"/>
      <c r="E924" s="2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5">
      <c r="A925" s="4"/>
      <c r="B925" s="4"/>
      <c r="C925" s="4"/>
      <c r="D925" s="25"/>
      <c r="E925" s="2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5">
      <c r="A926" s="4"/>
      <c r="B926" s="4"/>
      <c r="C926" s="4"/>
      <c r="D926" s="25"/>
      <c r="E926" s="2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5">
      <c r="A927" s="4"/>
      <c r="B927" s="4"/>
      <c r="C927" s="4"/>
      <c r="D927" s="25"/>
      <c r="E927" s="2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5">
      <c r="A928" s="4"/>
      <c r="B928" s="4"/>
      <c r="C928" s="4"/>
      <c r="D928" s="25"/>
      <c r="E928" s="2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5">
      <c r="A929" s="4"/>
      <c r="B929" s="4"/>
      <c r="C929" s="4"/>
      <c r="D929" s="25"/>
      <c r="E929" s="2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5">
      <c r="A930" s="4"/>
      <c r="B930" s="4"/>
      <c r="C930" s="4"/>
      <c r="D930" s="25"/>
      <c r="E930" s="2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5">
      <c r="A931" s="4"/>
      <c r="B931" s="4"/>
      <c r="C931" s="4"/>
      <c r="D931" s="25"/>
      <c r="E931" s="2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5">
      <c r="A932" s="4"/>
      <c r="B932" s="4"/>
      <c r="C932" s="4"/>
      <c r="D932" s="25"/>
      <c r="E932" s="2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5">
      <c r="A933" s="4"/>
      <c r="B933" s="4"/>
      <c r="C933" s="4"/>
      <c r="D933" s="25"/>
      <c r="E933" s="2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5">
      <c r="A934" s="4"/>
      <c r="B934" s="4"/>
      <c r="C934" s="4"/>
      <c r="D934" s="25"/>
      <c r="E934" s="2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5">
      <c r="A935" s="4"/>
      <c r="B935" s="4"/>
      <c r="C935" s="4"/>
      <c r="D935" s="25"/>
      <c r="E935" s="2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5">
      <c r="A936" s="4"/>
      <c r="B936" s="4"/>
      <c r="C936" s="4"/>
      <c r="D936" s="25"/>
      <c r="E936" s="2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5">
      <c r="A937" s="4"/>
      <c r="B937" s="4"/>
      <c r="C937" s="4"/>
      <c r="D937" s="25"/>
      <c r="E937" s="2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5">
      <c r="A938" s="4"/>
      <c r="B938" s="4"/>
      <c r="C938" s="4"/>
      <c r="D938" s="25"/>
      <c r="E938" s="2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5">
      <c r="A939" s="4"/>
      <c r="B939" s="4"/>
      <c r="C939" s="4"/>
      <c r="D939" s="25"/>
      <c r="E939" s="2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5">
      <c r="A940" s="4"/>
      <c r="B940" s="4"/>
      <c r="C940" s="4"/>
      <c r="D940" s="25"/>
      <c r="E940" s="2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5">
      <c r="A941" s="4"/>
      <c r="B941" s="4"/>
      <c r="C941" s="4"/>
      <c r="D941" s="25"/>
      <c r="E941" s="2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5">
      <c r="A942" s="4"/>
      <c r="B942" s="4"/>
      <c r="C942" s="4"/>
      <c r="D942" s="25"/>
      <c r="E942" s="2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5">
      <c r="A943" s="4"/>
      <c r="B943" s="4"/>
      <c r="C943" s="4"/>
      <c r="D943" s="25"/>
      <c r="E943" s="2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5">
      <c r="A944" s="4"/>
      <c r="B944" s="4"/>
      <c r="C944" s="4"/>
      <c r="D944" s="25"/>
      <c r="E944" s="2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5">
      <c r="A945" s="4"/>
      <c r="B945" s="4"/>
      <c r="C945" s="4"/>
      <c r="D945" s="25"/>
      <c r="E945" s="2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5">
      <c r="A946" s="4"/>
      <c r="B946" s="4"/>
      <c r="C946" s="4"/>
      <c r="D946" s="25"/>
      <c r="E946" s="2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5">
      <c r="A947" s="4"/>
      <c r="B947" s="4"/>
      <c r="C947" s="4"/>
      <c r="D947" s="25"/>
      <c r="E947" s="2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5">
      <c r="A948" s="4"/>
      <c r="B948" s="4"/>
      <c r="C948" s="4"/>
      <c r="D948" s="25"/>
      <c r="E948" s="2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5">
      <c r="A949" s="4"/>
      <c r="B949" s="4"/>
      <c r="C949" s="4"/>
      <c r="D949" s="25"/>
      <c r="E949" s="2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5">
      <c r="A950" s="4"/>
      <c r="B950" s="4"/>
      <c r="C950" s="4"/>
      <c r="D950" s="25"/>
      <c r="E950" s="2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5">
      <c r="A951" s="4"/>
      <c r="B951" s="4"/>
      <c r="C951" s="4"/>
      <c r="D951" s="25"/>
      <c r="E951" s="2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5">
      <c r="A952" s="4"/>
      <c r="B952" s="4"/>
      <c r="C952" s="4"/>
      <c r="D952" s="25"/>
      <c r="E952" s="2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5">
      <c r="A953" s="4"/>
      <c r="B953" s="4"/>
      <c r="C953" s="4"/>
      <c r="D953" s="25"/>
      <c r="E953" s="2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5">
      <c r="A954" s="4"/>
      <c r="B954" s="4"/>
      <c r="C954" s="4"/>
      <c r="D954" s="25"/>
      <c r="E954" s="2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5">
      <c r="A955" s="4"/>
      <c r="B955" s="4"/>
      <c r="C955" s="4"/>
      <c r="D955" s="25"/>
      <c r="E955" s="2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5">
      <c r="A956" s="4"/>
      <c r="B956" s="4"/>
      <c r="C956" s="4"/>
      <c r="D956" s="25"/>
      <c r="E956" s="2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5">
      <c r="A957" s="4"/>
      <c r="B957" s="4"/>
      <c r="C957" s="4"/>
      <c r="D957" s="25"/>
      <c r="E957" s="2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5">
      <c r="A958" s="4"/>
      <c r="B958" s="4"/>
      <c r="C958" s="4"/>
      <c r="D958" s="25"/>
      <c r="E958" s="2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5">
      <c r="A959" s="4"/>
      <c r="B959" s="4"/>
      <c r="C959" s="4"/>
      <c r="D959" s="25"/>
      <c r="E959" s="2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5">
      <c r="A960" s="4"/>
      <c r="B960" s="4"/>
      <c r="C960" s="4"/>
      <c r="D960" s="25"/>
      <c r="E960" s="2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5">
      <c r="A961" s="4"/>
      <c r="B961" s="4"/>
      <c r="C961" s="4"/>
      <c r="D961" s="25"/>
      <c r="E961" s="2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5">
      <c r="A962" s="4"/>
      <c r="B962" s="4"/>
      <c r="C962" s="4"/>
      <c r="D962" s="25"/>
      <c r="E962" s="2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5">
      <c r="A963" s="4"/>
      <c r="B963" s="4"/>
      <c r="C963" s="4"/>
      <c r="D963" s="25"/>
      <c r="E963" s="2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5">
      <c r="A964" s="4"/>
      <c r="B964" s="4"/>
      <c r="C964" s="4"/>
      <c r="D964" s="25"/>
      <c r="E964" s="2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5">
      <c r="A965" s="4"/>
      <c r="B965" s="4"/>
      <c r="C965" s="4"/>
      <c r="D965" s="25"/>
      <c r="E965" s="2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5">
      <c r="A966" s="4"/>
      <c r="B966" s="4"/>
      <c r="C966" s="4"/>
      <c r="D966" s="25"/>
      <c r="E966" s="2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5">
      <c r="A967" s="4"/>
      <c r="B967" s="4"/>
      <c r="C967" s="4"/>
      <c r="D967" s="25"/>
      <c r="E967" s="2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5">
      <c r="A968" s="4"/>
      <c r="B968" s="4"/>
      <c r="C968" s="4"/>
      <c r="D968" s="25"/>
      <c r="E968" s="2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5">
      <c r="A969" s="4"/>
      <c r="B969" s="4"/>
      <c r="C969" s="4"/>
      <c r="D969" s="25"/>
      <c r="E969" s="2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5">
      <c r="A970" s="4"/>
      <c r="B970" s="4"/>
      <c r="C970" s="4"/>
      <c r="D970" s="25"/>
      <c r="E970" s="2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5">
      <c r="A971" s="4"/>
      <c r="B971" s="4"/>
      <c r="C971" s="4"/>
      <c r="D971" s="25"/>
      <c r="E971" s="2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5">
      <c r="A972" s="4"/>
      <c r="B972" s="4"/>
      <c r="C972" s="4"/>
      <c r="D972" s="25"/>
      <c r="E972" s="2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5">
      <c r="A973" s="4"/>
      <c r="B973" s="4"/>
      <c r="C973" s="4"/>
      <c r="D973" s="25"/>
      <c r="E973" s="2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5">
      <c r="A974" s="4"/>
      <c r="B974" s="4"/>
      <c r="C974" s="4"/>
      <c r="D974" s="25"/>
      <c r="E974" s="2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5">
      <c r="A975" s="4"/>
      <c r="B975" s="4"/>
      <c r="C975" s="4"/>
      <c r="D975" s="25"/>
      <c r="E975" s="2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5">
      <c r="A976" s="4"/>
      <c r="B976" s="4"/>
      <c r="C976" s="4"/>
      <c r="D976" s="25"/>
      <c r="E976" s="2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5">
      <c r="A977" s="4"/>
      <c r="B977" s="4"/>
      <c r="C977" s="4"/>
      <c r="D977" s="25"/>
      <c r="E977" s="2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5">
      <c r="A978" s="4"/>
      <c r="B978" s="4"/>
      <c r="C978" s="4"/>
      <c r="D978" s="25"/>
      <c r="E978" s="2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5">
      <c r="A979" s="4"/>
      <c r="B979" s="4"/>
      <c r="C979" s="4"/>
      <c r="D979" s="25"/>
      <c r="E979" s="2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5">
      <c r="A980" s="4"/>
      <c r="B980" s="4"/>
      <c r="C980" s="4"/>
      <c r="D980" s="25"/>
      <c r="E980" s="2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5">
      <c r="A981" s="4"/>
      <c r="B981" s="4"/>
      <c r="C981" s="4"/>
      <c r="D981" s="25"/>
      <c r="E981" s="2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5">
      <c r="A982" s="4"/>
      <c r="B982" s="4"/>
      <c r="C982" s="4"/>
      <c r="D982" s="25"/>
      <c r="E982" s="2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5">
      <c r="A983" s="4"/>
      <c r="B983" s="4"/>
      <c r="C983" s="4"/>
      <c r="D983" s="25"/>
      <c r="E983" s="2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5">
      <c r="A984" s="4"/>
      <c r="B984" s="4"/>
      <c r="C984" s="4"/>
      <c r="D984" s="25"/>
      <c r="E984" s="2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5">
      <c r="A985" s="4"/>
      <c r="B985" s="4"/>
      <c r="C985" s="4"/>
      <c r="D985" s="25"/>
      <c r="E985" s="2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5">
      <c r="A986" s="4"/>
      <c r="B986" s="4"/>
      <c r="C986" s="4"/>
      <c r="D986" s="25"/>
      <c r="E986" s="2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5">
      <c r="A987" s="4"/>
      <c r="B987" s="4"/>
      <c r="C987" s="4"/>
      <c r="D987" s="25"/>
      <c r="E987" s="2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5">
      <c r="A988" s="4"/>
      <c r="B988" s="4"/>
      <c r="C988" s="4"/>
      <c r="D988" s="25"/>
      <c r="E988" s="2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5">
      <c r="A989" s="4"/>
      <c r="B989" s="4"/>
      <c r="C989" s="4"/>
      <c r="D989" s="25"/>
      <c r="E989" s="2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5">
      <c r="A990" s="4"/>
      <c r="B990" s="4"/>
      <c r="C990" s="4"/>
      <c r="D990" s="25"/>
      <c r="E990" s="2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5">
      <c r="A991" s="4"/>
      <c r="B991" s="4"/>
      <c r="C991" s="4"/>
      <c r="D991" s="25"/>
      <c r="E991" s="2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5">
      <c r="A992" s="4"/>
      <c r="B992" s="4"/>
      <c r="C992" s="4"/>
      <c r="D992" s="25"/>
      <c r="E992" s="2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5">
      <c r="A993" s="4"/>
      <c r="B993" s="4"/>
      <c r="C993" s="4"/>
      <c r="D993" s="25"/>
      <c r="E993" s="2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5">
      <c r="A994" s="4"/>
      <c r="B994" s="4"/>
      <c r="C994" s="4"/>
      <c r="D994" s="25"/>
      <c r="E994" s="2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5">
      <c r="A995" s="4"/>
      <c r="B995" s="4"/>
      <c r="C995" s="4"/>
      <c r="D995" s="25"/>
      <c r="E995" s="2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5">
      <c r="A996" s="4"/>
      <c r="B996" s="4"/>
      <c r="C996" s="4"/>
      <c r="D996" s="25"/>
      <c r="E996" s="2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5">
      <c r="A997" s="4"/>
      <c r="B997" s="4"/>
      <c r="C997" s="4"/>
      <c r="D997" s="25"/>
      <c r="E997" s="2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5">
      <c r="A998" s="4"/>
      <c r="B998" s="4"/>
      <c r="C998" s="4"/>
      <c r="D998" s="25"/>
      <c r="E998" s="2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5">
      <c r="A999" s="4"/>
      <c r="B999" s="4"/>
      <c r="C999" s="4"/>
      <c r="D999" s="25"/>
      <c r="E999" s="2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5">
      <c r="A1000" s="4"/>
      <c r="B1000" s="4"/>
      <c r="C1000" s="4"/>
      <c r="D1000" s="25"/>
      <c r="E1000" s="25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customHeight="1" x14ac:dyDescent="0.25">
      <c r="A1001" s="4"/>
      <c r="B1001" s="4"/>
      <c r="C1001" s="4"/>
      <c r="D1001" s="25"/>
      <c r="E1001" s="25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customHeight="1" x14ac:dyDescent="0.25">
      <c r="A1002" s="4"/>
      <c r="B1002" s="4"/>
      <c r="C1002" s="4"/>
      <c r="D1002" s="25"/>
      <c r="E1002" s="25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customHeight="1" x14ac:dyDescent="0.25">
      <c r="A1003" s="4"/>
      <c r="B1003" s="4"/>
      <c r="C1003" s="4"/>
      <c r="D1003" s="25"/>
      <c r="E1003" s="25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customHeight="1" x14ac:dyDescent="0.25">
      <c r="A1004" s="4"/>
      <c r="B1004" s="4"/>
      <c r="C1004" s="4"/>
      <c r="D1004" s="25"/>
      <c r="E1004" s="25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customHeight="1" x14ac:dyDescent="0.25">
      <c r="A1005" s="4"/>
      <c r="B1005" s="4"/>
      <c r="C1005" s="4"/>
      <c r="D1005" s="25"/>
      <c r="E1005" s="25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</sheetData>
  <mergeCells count="1">
    <mergeCell ref="C48:C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D910-19E3-4B0E-BBEE-293E66A703DB}">
  <dimension ref="A1:J158"/>
  <sheetViews>
    <sheetView zoomScale="80" zoomScaleNormal="80" workbookViewId="0">
      <selection activeCell="D5" sqref="D5:D13"/>
    </sheetView>
  </sheetViews>
  <sheetFormatPr baseColWidth="10" defaultRowHeight="15" x14ac:dyDescent="0.25"/>
  <cols>
    <col min="1" max="1" width="11.42578125" style="60"/>
    <col min="2" max="2" width="26.7109375" style="60" customWidth="1"/>
    <col min="3" max="3" width="40.85546875" style="60" bestFit="1" customWidth="1"/>
    <col min="4" max="4" width="40.85546875" style="60" customWidth="1"/>
    <col min="5" max="5" width="8.140625" style="60" bestFit="1" customWidth="1"/>
    <col min="6" max="6" width="13.42578125" style="60" customWidth="1"/>
    <col min="7" max="7" width="13" style="60" bestFit="1" customWidth="1"/>
    <col min="8" max="8" width="16.140625" style="60" customWidth="1"/>
    <col min="9" max="10" width="13.5703125" style="60" bestFit="1" customWidth="1"/>
    <col min="11" max="16384" width="11.42578125" style="60"/>
  </cols>
  <sheetData>
    <row r="1" spans="2:10" x14ac:dyDescent="0.25">
      <c r="B1" s="59" t="s">
        <v>288</v>
      </c>
    </row>
    <row r="2" spans="2:10" ht="15.75" thickBot="1" x14ac:dyDescent="0.3"/>
    <row r="3" spans="2:10" ht="15.75" thickBot="1" x14ac:dyDescent="0.3">
      <c r="B3" s="73" t="s">
        <v>289</v>
      </c>
      <c r="C3" s="74"/>
      <c r="D3" s="74"/>
      <c r="E3" s="74"/>
      <c r="F3" s="74"/>
      <c r="G3" s="74"/>
      <c r="H3" s="75"/>
      <c r="I3" s="61" t="s">
        <v>290</v>
      </c>
      <c r="J3" s="62">
        <f>+SUM(H5,I7,I15)</f>
        <v>597105.75677381153</v>
      </c>
    </row>
    <row r="4" spans="2:10" x14ac:dyDescent="0.25">
      <c r="B4" s="63" t="s">
        <v>252</v>
      </c>
      <c r="C4" s="63" t="s">
        <v>291</v>
      </c>
      <c r="D4" s="63" t="s">
        <v>443</v>
      </c>
      <c r="E4" s="63" t="s">
        <v>21</v>
      </c>
      <c r="F4" s="63" t="s">
        <v>292</v>
      </c>
      <c r="G4" s="63" t="s">
        <v>293</v>
      </c>
      <c r="H4" s="61" t="s">
        <v>294</v>
      </c>
    </row>
    <row r="5" spans="2:10" x14ac:dyDescent="0.25">
      <c r="B5" s="63" t="s">
        <v>295</v>
      </c>
      <c r="C5" s="60" t="s">
        <v>296</v>
      </c>
      <c r="D5" s="60" t="s">
        <v>444</v>
      </c>
      <c r="E5" s="60" t="s">
        <v>23</v>
      </c>
      <c r="F5" s="64">
        <v>100</v>
      </c>
      <c r="G5" s="65">
        <v>1115.430210970464</v>
      </c>
      <c r="H5" s="66">
        <f>+F5*G5</f>
        <v>111543.02109704641</v>
      </c>
    </row>
    <row r="7" spans="2:10" x14ac:dyDescent="0.25">
      <c r="B7" s="63" t="s">
        <v>297</v>
      </c>
      <c r="I7" s="62">
        <f>+SUM(H8:H13)</f>
        <v>31539.908266188209</v>
      </c>
    </row>
    <row r="8" spans="2:10" x14ac:dyDescent="0.25">
      <c r="C8" s="60" t="s">
        <v>298</v>
      </c>
      <c r="D8" s="60" t="s">
        <v>445</v>
      </c>
      <c r="E8" s="60" t="s">
        <v>23</v>
      </c>
      <c r="F8" s="64">
        <v>100</v>
      </c>
      <c r="G8" s="65">
        <v>10.787100056478112</v>
      </c>
      <c r="H8" s="66">
        <f t="shared" ref="H8:H13" si="0">+F8*G8</f>
        <v>1078.7100056478112</v>
      </c>
    </row>
    <row r="9" spans="2:10" x14ac:dyDescent="0.25">
      <c r="C9" s="60" t="s">
        <v>299</v>
      </c>
      <c r="D9" s="60" t="s">
        <v>446</v>
      </c>
      <c r="E9" s="60" t="s">
        <v>23</v>
      </c>
      <c r="F9" s="64">
        <v>100</v>
      </c>
      <c r="G9" s="65">
        <v>105.23000297225893</v>
      </c>
      <c r="H9" s="66">
        <f t="shared" si="0"/>
        <v>10523.000297225894</v>
      </c>
    </row>
    <row r="10" spans="2:10" x14ac:dyDescent="0.25">
      <c r="C10" s="60" t="s">
        <v>300</v>
      </c>
      <c r="D10" s="60" t="s">
        <v>447</v>
      </c>
      <c r="E10" s="60" t="s">
        <v>23</v>
      </c>
      <c r="F10" s="64">
        <v>100</v>
      </c>
      <c r="G10" s="65">
        <v>12.263601110824494</v>
      </c>
      <c r="H10" s="66">
        <f t="shared" si="0"/>
        <v>1226.3601110824493</v>
      </c>
    </row>
    <row r="11" spans="2:10" x14ac:dyDescent="0.25">
      <c r="C11" s="60" t="s">
        <v>301</v>
      </c>
      <c r="D11" s="60" t="s">
        <v>448</v>
      </c>
      <c r="E11" s="60" t="s">
        <v>23</v>
      </c>
      <c r="F11" s="64">
        <v>100</v>
      </c>
      <c r="G11" s="65">
        <v>166.48997809899257</v>
      </c>
      <c r="H11" s="66">
        <f t="shared" si="0"/>
        <v>16648.997809899258</v>
      </c>
    </row>
    <row r="12" spans="2:10" x14ac:dyDescent="0.25">
      <c r="C12" s="60" t="s">
        <v>302</v>
      </c>
      <c r="D12" s="60" t="s">
        <v>445</v>
      </c>
      <c r="E12" s="60" t="s">
        <v>23</v>
      </c>
      <c r="F12" s="64">
        <v>100</v>
      </c>
      <c r="G12" s="65">
        <v>10.535401686139675</v>
      </c>
      <c r="H12" s="66">
        <f t="shared" si="0"/>
        <v>1053.5401686139676</v>
      </c>
    </row>
    <row r="13" spans="2:10" x14ac:dyDescent="0.25">
      <c r="C13" s="60" t="s">
        <v>303</v>
      </c>
      <c r="D13" s="60" t="s">
        <v>449</v>
      </c>
      <c r="E13" s="60" t="s">
        <v>23</v>
      </c>
      <c r="F13" s="64">
        <v>100</v>
      </c>
      <c r="G13" s="65">
        <v>10.092998737188335</v>
      </c>
      <c r="H13" s="66">
        <f t="shared" si="0"/>
        <v>1009.2998737188335</v>
      </c>
    </row>
    <row r="15" spans="2:10" x14ac:dyDescent="0.25">
      <c r="B15" s="63" t="s">
        <v>304</v>
      </c>
      <c r="I15" s="62">
        <f>+SUM(H16:H36)</f>
        <v>454022.82741057698</v>
      </c>
    </row>
    <row r="16" spans="2:10" x14ac:dyDescent="0.25">
      <c r="C16" s="60" t="s">
        <v>305</v>
      </c>
      <c r="E16" s="60" t="s">
        <v>23</v>
      </c>
      <c r="F16" s="64">
        <v>100</v>
      </c>
      <c r="G16" s="65">
        <v>40.149989292215437</v>
      </c>
      <c r="H16" s="66">
        <f t="shared" ref="H16:H27" si="1">+F16*G16</f>
        <v>4014.9989292215437</v>
      </c>
    </row>
    <row r="17" spans="2:8" x14ac:dyDescent="0.25">
      <c r="C17" s="60" t="s">
        <v>306</v>
      </c>
      <c r="E17" s="60" t="s">
        <v>23</v>
      </c>
      <c r="F17" s="64">
        <v>100</v>
      </c>
      <c r="G17" s="65">
        <v>145.23995715050884</v>
      </c>
      <c r="H17" s="66">
        <f t="shared" si="1"/>
        <v>14523.995715050884</v>
      </c>
    </row>
    <row r="18" spans="2:8" x14ac:dyDescent="0.25">
      <c r="C18" s="60" t="s">
        <v>307</v>
      </c>
      <c r="E18" s="60" t="s">
        <v>23</v>
      </c>
      <c r="F18" s="64">
        <v>100</v>
      </c>
      <c r="G18" s="65">
        <v>108.91998523380907</v>
      </c>
      <c r="H18" s="66">
        <f t="shared" si="1"/>
        <v>10891.998523380907</v>
      </c>
    </row>
    <row r="19" spans="2:8" x14ac:dyDescent="0.25">
      <c r="C19" s="60" t="s">
        <v>308</v>
      </c>
      <c r="E19" s="60" t="s">
        <v>23</v>
      </c>
      <c r="F19" s="64">
        <v>100</v>
      </c>
      <c r="G19" s="65">
        <v>197.70002517623362</v>
      </c>
      <c r="H19" s="66">
        <f t="shared" si="1"/>
        <v>19770.002517623361</v>
      </c>
    </row>
    <row r="20" spans="2:8" x14ac:dyDescent="0.25">
      <c r="C20" s="60" t="s">
        <v>309</v>
      </c>
      <c r="E20" s="60" t="s">
        <v>23</v>
      </c>
      <c r="F20" s="64">
        <v>100</v>
      </c>
      <c r="G20" s="65">
        <v>51.053586221719385</v>
      </c>
      <c r="H20" s="66">
        <f t="shared" si="1"/>
        <v>5105.3586221719388</v>
      </c>
    </row>
    <row r="21" spans="2:8" x14ac:dyDescent="0.25">
      <c r="C21" s="60" t="s">
        <v>310</v>
      </c>
      <c r="E21" s="60" t="s">
        <v>23</v>
      </c>
      <c r="F21" s="64">
        <v>100</v>
      </c>
      <c r="G21" s="65">
        <v>133.73002228589621</v>
      </c>
      <c r="H21" s="66">
        <f t="shared" si="1"/>
        <v>13373.002228589621</v>
      </c>
    </row>
    <row r="22" spans="2:8" x14ac:dyDescent="0.25">
      <c r="C22" s="60" t="s">
        <v>311</v>
      </c>
      <c r="E22" s="60" t="s">
        <v>23</v>
      </c>
      <c r="F22" s="64">
        <v>100</v>
      </c>
      <c r="G22" s="65">
        <v>37.365001247055567</v>
      </c>
      <c r="H22" s="66">
        <f t="shared" si="1"/>
        <v>3736.5001247055566</v>
      </c>
    </row>
    <row r="23" spans="2:8" x14ac:dyDescent="0.25">
      <c r="C23" s="60" t="s">
        <v>312</v>
      </c>
      <c r="E23" s="60" t="s">
        <v>23</v>
      </c>
      <c r="F23" s="64">
        <v>100</v>
      </c>
      <c r="G23" s="65">
        <v>307.60030101031145</v>
      </c>
      <c r="H23" s="66">
        <f t="shared" si="1"/>
        <v>30760.030101031145</v>
      </c>
    </row>
    <row r="24" spans="2:8" x14ac:dyDescent="0.25">
      <c r="C24" s="60" t="s">
        <v>313</v>
      </c>
      <c r="E24" s="60" t="s">
        <v>23</v>
      </c>
      <c r="F24" s="64">
        <v>100</v>
      </c>
      <c r="G24" s="65">
        <v>270.97902935889755</v>
      </c>
      <c r="H24" s="66">
        <f t="shared" si="1"/>
        <v>27097.902935889753</v>
      </c>
    </row>
    <row r="25" spans="2:8" x14ac:dyDescent="0.25">
      <c r="C25" s="60" t="s">
        <v>314</v>
      </c>
      <c r="E25" s="60" t="s">
        <v>23</v>
      </c>
      <c r="F25" s="64">
        <v>100</v>
      </c>
      <c r="G25" s="65">
        <v>14.11299852646327</v>
      </c>
      <c r="H25" s="66">
        <f t="shared" si="1"/>
        <v>1411.2998526463271</v>
      </c>
    </row>
    <row r="26" spans="2:8" x14ac:dyDescent="0.25">
      <c r="C26" s="60" t="s">
        <v>315</v>
      </c>
      <c r="E26" s="60" t="s">
        <v>23</v>
      </c>
      <c r="F26" s="64">
        <v>100</v>
      </c>
      <c r="G26" s="65">
        <v>237.74966861231405</v>
      </c>
      <c r="H26" s="66">
        <f t="shared" si="1"/>
        <v>23774.966861231405</v>
      </c>
    </row>
    <row r="27" spans="2:8" x14ac:dyDescent="0.25">
      <c r="C27" s="60" t="s">
        <v>316</v>
      </c>
      <c r="E27" s="60" t="s">
        <v>23</v>
      </c>
      <c r="F27" s="64">
        <v>100</v>
      </c>
      <c r="G27" s="65">
        <v>1612.8602101116219</v>
      </c>
      <c r="H27" s="66">
        <f t="shared" si="1"/>
        <v>161286.0210111622</v>
      </c>
    </row>
    <row r="29" spans="2:8" x14ac:dyDescent="0.25">
      <c r="B29" s="63" t="s">
        <v>317</v>
      </c>
    </row>
    <row r="30" spans="2:8" x14ac:dyDescent="0.25">
      <c r="C30" s="60" t="s">
        <v>318</v>
      </c>
      <c r="E30" s="60" t="s">
        <v>23</v>
      </c>
      <c r="F30" s="64">
        <v>100</v>
      </c>
      <c r="G30" s="65">
        <v>1.0000114385065886</v>
      </c>
      <c r="H30" s="66">
        <f t="shared" ref="H30:H36" si="2">+F30*G30</f>
        <v>100.00114385065886</v>
      </c>
    </row>
    <row r="31" spans="2:8" x14ac:dyDescent="0.25">
      <c r="C31" s="60" t="s">
        <v>319</v>
      </c>
      <c r="E31" s="60" t="s">
        <v>23</v>
      </c>
      <c r="F31" s="64">
        <v>100</v>
      </c>
      <c r="G31" s="65">
        <v>220.7900211492227</v>
      </c>
      <c r="H31" s="66">
        <f t="shared" si="2"/>
        <v>22079.00211492227</v>
      </c>
    </row>
    <row r="32" spans="2:8" x14ac:dyDescent="0.25">
      <c r="C32" s="60" t="s">
        <v>320</v>
      </c>
      <c r="E32" s="60" t="s">
        <v>23</v>
      </c>
      <c r="F32" s="64">
        <v>100</v>
      </c>
      <c r="G32" s="65">
        <v>218.2698815527215</v>
      </c>
      <c r="H32" s="66">
        <f t="shared" si="2"/>
        <v>21826.988155272149</v>
      </c>
    </row>
    <row r="33" spans="1:10" x14ac:dyDescent="0.25">
      <c r="C33" s="60" t="s">
        <v>321</v>
      </c>
      <c r="E33" s="60" t="s">
        <v>23</v>
      </c>
      <c r="F33" s="64">
        <v>100</v>
      </c>
      <c r="G33" s="65">
        <v>198.51397554347989</v>
      </c>
      <c r="H33" s="66">
        <f t="shared" si="2"/>
        <v>19851.39755434799</v>
      </c>
    </row>
    <row r="34" spans="1:10" x14ac:dyDescent="0.25">
      <c r="C34" s="60" t="s">
        <v>322</v>
      </c>
      <c r="E34" s="60" t="s">
        <v>23</v>
      </c>
      <c r="F34" s="64">
        <v>100</v>
      </c>
      <c r="G34" s="65">
        <v>210.06360579630245</v>
      </c>
      <c r="H34" s="66">
        <f t="shared" si="2"/>
        <v>21006.360579630244</v>
      </c>
    </row>
    <row r="35" spans="1:10" x14ac:dyDescent="0.25">
      <c r="C35" s="60" t="s">
        <v>323</v>
      </c>
      <c r="E35" s="60" t="s">
        <v>23</v>
      </c>
      <c r="F35" s="64">
        <v>100</v>
      </c>
      <c r="G35" s="65">
        <v>215.1700409337316</v>
      </c>
      <c r="H35" s="66">
        <f t="shared" si="2"/>
        <v>21517.004093373162</v>
      </c>
    </row>
    <row r="36" spans="1:10" x14ac:dyDescent="0.25">
      <c r="C36" s="60" t="s">
        <v>324</v>
      </c>
      <c r="E36" s="60" t="s">
        <v>23</v>
      </c>
      <c r="F36" s="64">
        <v>100</v>
      </c>
      <c r="G36" s="65">
        <v>318.95996346475874</v>
      </c>
      <c r="H36" s="66">
        <f t="shared" si="2"/>
        <v>31895.996346475873</v>
      </c>
    </row>
    <row r="37" spans="1:10" ht="15.75" thickBot="1" x14ac:dyDescent="0.3"/>
    <row r="38" spans="1:10" ht="15.75" thickBot="1" x14ac:dyDescent="0.3">
      <c r="A38" s="73" t="s">
        <v>325</v>
      </c>
      <c r="B38" s="74"/>
      <c r="C38" s="74"/>
      <c r="D38" s="74"/>
      <c r="E38" s="74"/>
      <c r="F38" s="74"/>
      <c r="G38" s="74"/>
      <c r="H38" s="75"/>
      <c r="I38" s="61" t="s">
        <v>290</v>
      </c>
      <c r="J38" s="62">
        <f>+SUM(I41:I77)</f>
        <v>23057868.345510006</v>
      </c>
    </row>
    <row r="39" spans="1:10" x14ac:dyDescent="0.25">
      <c r="A39" s="63" t="s">
        <v>326</v>
      </c>
      <c r="B39" s="63" t="s">
        <v>252</v>
      </c>
      <c r="C39" s="63" t="s">
        <v>291</v>
      </c>
      <c r="D39" s="63"/>
      <c r="E39" s="63" t="s">
        <v>21</v>
      </c>
      <c r="F39" s="63" t="s">
        <v>292</v>
      </c>
      <c r="G39" s="63" t="s">
        <v>293</v>
      </c>
      <c r="H39" s="61" t="s">
        <v>294</v>
      </c>
    </row>
    <row r="40" spans="1:10" x14ac:dyDescent="0.25">
      <c r="B40" s="63" t="s">
        <v>327</v>
      </c>
    </row>
    <row r="41" spans="1:10" x14ac:dyDescent="0.25">
      <c r="A41" s="63">
        <v>5600</v>
      </c>
      <c r="C41" s="60" t="s">
        <v>328</v>
      </c>
      <c r="E41" s="60" t="s">
        <v>23</v>
      </c>
      <c r="F41" s="64">
        <v>100</v>
      </c>
      <c r="G41" s="65">
        <v>32.639995530429516</v>
      </c>
      <c r="H41" s="66">
        <f>+F41*G41</f>
        <v>3263.9995530429514</v>
      </c>
      <c r="I41" s="66">
        <f>+SUM(H41:H70)</f>
        <v>620186.16708039679</v>
      </c>
    </row>
    <row r="42" spans="1:10" x14ac:dyDescent="0.25">
      <c r="C42" s="60" t="s">
        <v>329</v>
      </c>
      <c r="E42" s="60" t="s">
        <v>23</v>
      </c>
      <c r="F42" s="64">
        <v>100</v>
      </c>
      <c r="G42" s="65">
        <v>45.339993048151314</v>
      </c>
      <c r="H42" s="66">
        <f t="shared" ref="H42:H48" si="3">+F42*G42</f>
        <v>4533.9993048151318</v>
      </c>
    </row>
    <row r="43" spans="1:10" x14ac:dyDescent="0.25">
      <c r="C43" s="60" t="s">
        <v>330</v>
      </c>
      <c r="E43" s="60" t="s">
        <v>23</v>
      </c>
      <c r="F43" s="64">
        <v>100</v>
      </c>
      <c r="G43" s="65">
        <v>11.535399963849589</v>
      </c>
      <c r="H43" s="66">
        <f t="shared" si="3"/>
        <v>1153.5399963849588</v>
      </c>
    </row>
    <row r="44" spans="1:10" x14ac:dyDescent="0.25">
      <c r="C44" s="60" t="s">
        <v>331</v>
      </c>
      <c r="E44" s="60" t="s">
        <v>332</v>
      </c>
      <c r="F44" s="64">
        <v>100</v>
      </c>
      <c r="G44" s="65">
        <v>10.619998583515979</v>
      </c>
      <c r="H44" s="66">
        <f t="shared" si="3"/>
        <v>1061.999858351598</v>
      </c>
    </row>
    <row r="45" spans="1:10" x14ac:dyDescent="0.25">
      <c r="C45" s="60" t="s">
        <v>333</v>
      </c>
      <c r="E45" s="60" t="s">
        <v>23</v>
      </c>
      <c r="F45" s="64">
        <v>100</v>
      </c>
      <c r="G45" s="65">
        <v>33.079998766884145</v>
      </c>
      <c r="H45" s="66">
        <f t="shared" si="3"/>
        <v>3307.9998766884146</v>
      </c>
    </row>
    <row r="46" spans="1:10" x14ac:dyDescent="0.25">
      <c r="C46" s="60" t="s">
        <v>334</v>
      </c>
      <c r="E46" s="60" t="s">
        <v>23</v>
      </c>
      <c r="F46" s="64">
        <v>100</v>
      </c>
      <c r="G46" s="65">
        <v>35.620000000000005</v>
      </c>
      <c r="H46" s="66">
        <f t="shared" si="3"/>
        <v>3562.0000000000005</v>
      </c>
    </row>
    <row r="47" spans="1:10" x14ac:dyDescent="0.25">
      <c r="C47" s="60" t="s">
        <v>335</v>
      </c>
      <c r="E47" s="60" t="s">
        <v>23</v>
      </c>
      <c r="F47" s="64">
        <v>100</v>
      </c>
      <c r="G47" s="65">
        <v>5.7645000225859393</v>
      </c>
      <c r="H47" s="66">
        <f t="shared" si="3"/>
        <v>576.45000225859394</v>
      </c>
    </row>
    <row r="48" spans="1:10" x14ac:dyDescent="0.25">
      <c r="C48" s="60" t="s">
        <v>336</v>
      </c>
      <c r="E48" s="60" t="s">
        <v>23</v>
      </c>
      <c r="F48" s="64">
        <v>100</v>
      </c>
      <c r="G48" s="65">
        <v>9.1019999698708958</v>
      </c>
      <c r="H48" s="66">
        <f t="shared" si="3"/>
        <v>910.19999698708955</v>
      </c>
    </row>
    <row r="50" spans="2:8" x14ac:dyDescent="0.25">
      <c r="B50" s="63" t="s">
        <v>337</v>
      </c>
    </row>
    <row r="51" spans="2:8" x14ac:dyDescent="0.25">
      <c r="C51" s="60" t="s">
        <v>338</v>
      </c>
      <c r="E51" s="60" t="s">
        <v>332</v>
      </c>
      <c r="F51" s="64">
        <v>100</v>
      </c>
      <c r="G51" s="65">
        <v>242.42033043532069</v>
      </c>
      <c r="H51" s="66">
        <f t="shared" ref="H51:H70" si="4">+F51*G51</f>
        <v>24242.033043532068</v>
      </c>
    </row>
    <row r="52" spans="2:8" x14ac:dyDescent="0.25">
      <c r="C52" s="60" t="s">
        <v>339</v>
      </c>
      <c r="E52" s="60" t="s">
        <v>340</v>
      </c>
      <c r="F52" s="64">
        <v>100</v>
      </c>
      <c r="G52" s="65">
        <v>187.42248734358583</v>
      </c>
      <c r="H52" s="66">
        <f t="shared" si="4"/>
        <v>18742.248734358582</v>
      </c>
    </row>
    <row r="53" spans="2:8" x14ac:dyDescent="0.25">
      <c r="C53" s="60" t="s">
        <v>341</v>
      </c>
      <c r="E53" s="60" t="s">
        <v>23</v>
      </c>
      <c r="F53" s="64">
        <v>100</v>
      </c>
      <c r="G53" s="65">
        <v>97.115002012072438</v>
      </c>
      <c r="H53" s="66">
        <f t="shared" si="4"/>
        <v>9711.5002012072437</v>
      </c>
    </row>
    <row r="54" spans="2:8" x14ac:dyDescent="0.25">
      <c r="C54" s="60" t="s">
        <v>342</v>
      </c>
      <c r="E54" s="60" t="s">
        <v>23</v>
      </c>
      <c r="F54" s="64">
        <v>100</v>
      </c>
      <c r="G54" s="65">
        <v>695.7</v>
      </c>
      <c r="H54" s="66">
        <f t="shared" si="4"/>
        <v>69570</v>
      </c>
    </row>
    <row r="55" spans="2:8" x14ac:dyDescent="0.25">
      <c r="C55" s="60" t="s">
        <v>343</v>
      </c>
      <c r="E55" s="60" t="s">
        <v>23</v>
      </c>
      <c r="F55" s="64">
        <v>100</v>
      </c>
      <c r="G55" s="65">
        <v>399.95001187178474</v>
      </c>
      <c r="H55" s="66">
        <f t="shared" si="4"/>
        <v>39995.001187178474</v>
      </c>
    </row>
    <row r="56" spans="2:8" x14ac:dyDescent="0.25">
      <c r="C56" s="60" t="s">
        <v>344</v>
      </c>
      <c r="E56" s="60" t="s">
        <v>23</v>
      </c>
      <c r="F56" s="64">
        <v>100</v>
      </c>
      <c r="G56" s="65">
        <v>410.14998790810154</v>
      </c>
      <c r="H56" s="66">
        <f t="shared" si="4"/>
        <v>41014.998790810154</v>
      </c>
    </row>
    <row r="57" spans="2:8" x14ac:dyDescent="0.25">
      <c r="C57" s="60" t="s">
        <v>345</v>
      </c>
      <c r="E57" s="60" t="s">
        <v>23</v>
      </c>
      <c r="F57" s="64">
        <v>100</v>
      </c>
      <c r="G57" s="65">
        <v>650.30000000000007</v>
      </c>
      <c r="H57" s="66">
        <f t="shared" si="4"/>
        <v>65030.000000000007</v>
      </c>
    </row>
    <row r="58" spans="2:8" x14ac:dyDescent="0.25">
      <c r="C58" s="60" t="s">
        <v>346</v>
      </c>
      <c r="E58" s="60" t="s">
        <v>23</v>
      </c>
      <c r="F58" s="64">
        <v>100</v>
      </c>
      <c r="G58" s="65">
        <v>1267.7600101317123</v>
      </c>
      <c r="H58" s="66">
        <f t="shared" si="4"/>
        <v>126776.00101317123</v>
      </c>
    </row>
    <row r="59" spans="2:8" x14ac:dyDescent="0.25">
      <c r="C59" s="60" t="s">
        <v>347</v>
      </c>
      <c r="E59" s="60" t="s">
        <v>23</v>
      </c>
      <c r="F59" s="64">
        <v>100</v>
      </c>
      <c r="G59" s="65">
        <v>606.8499824868652</v>
      </c>
      <c r="H59" s="66">
        <f t="shared" si="4"/>
        <v>60684.998248686519</v>
      </c>
    </row>
    <row r="60" spans="2:8" x14ac:dyDescent="0.25">
      <c r="C60" s="60" t="s">
        <v>348</v>
      </c>
      <c r="E60" s="60" t="s">
        <v>23</v>
      </c>
      <c r="F60" s="64">
        <v>100</v>
      </c>
      <c r="G60" s="65">
        <v>681.5399796195652</v>
      </c>
      <c r="H60" s="66">
        <f t="shared" si="4"/>
        <v>68153.997961956513</v>
      </c>
    </row>
    <row r="61" spans="2:8" x14ac:dyDescent="0.25">
      <c r="C61" s="60" t="s">
        <v>349</v>
      </c>
      <c r="E61" s="60" t="s">
        <v>23</v>
      </c>
      <c r="F61" s="64">
        <v>100</v>
      </c>
      <c r="G61" s="65">
        <v>38.550000000000004</v>
      </c>
      <c r="H61" s="66">
        <f t="shared" si="4"/>
        <v>3855.0000000000005</v>
      </c>
    </row>
    <row r="62" spans="2:8" x14ac:dyDescent="0.25">
      <c r="C62" s="60" t="s">
        <v>350</v>
      </c>
      <c r="E62" s="60" t="s">
        <v>23</v>
      </c>
      <c r="F62" s="64">
        <v>100</v>
      </c>
      <c r="G62" s="65">
        <v>8.9587502138579982</v>
      </c>
      <c r="H62" s="66">
        <f t="shared" si="4"/>
        <v>895.87502138579987</v>
      </c>
    </row>
    <row r="63" spans="2:8" x14ac:dyDescent="0.25">
      <c r="C63" s="60" t="s">
        <v>351</v>
      </c>
      <c r="E63" s="60" t="s">
        <v>23</v>
      </c>
      <c r="F63" s="64">
        <v>100</v>
      </c>
      <c r="G63" s="65">
        <v>12.757500187927535</v>
      </c>
      <c r="H63" s="66">
        <f t="shared" si="4"/>
        <v>1275.7500187927535</v>
      </c>
    </row>
    <row r="64" spans="2:8" x14ac:dyDescent="0.25">
      <c r="C64" s="60" t="s">
        <v>352</v>
      </c>
      <c r="E64" s="60" t="s">
        <v>23</v>
      </c>
      <c r="F64" s="64">
        <v>100</v>
      </c>
      <c r="G64" s="65">
        <v>15.602500325478452</v>
      </c>
      <c r="H64" s="66">
        <f t="shared" si="4"/>
        <v>1560.2500325478452</v>
      </c>
    </row>
    <row r="65" spans="1:9" x14ac:dyDescent="0.25">
      <c r="C65" s="60" t="s">
        <v>353</v>
      </c>
      <c r="E65" s="60" t="s">
        <v>354</v>
      </c>
      <c r="F65" s="64">
        <v>100</v>
      </c>
      <c r="G65" s="65">
        <v>107.74157703747336</v>
      </c>
      <c r="H65" s="66">
        <f t="shared" si="4"/>
        <v>10774.157703747336</v>
      </c>
    </row>
    <row r="66" spans="1:9" x14ac:dyDescent="0.25">
      <c r="C66" s="60" t="s">
        <v>355</v>
      </c>
      <c r="E66" s="60" t="s">
        <v>23</v>
      </c>
      <c r="F66" s="64">
        <v>100</v>
      </c>
      <c r="G66" s="65">
        <v>161.25830009557612</v>
      </c>
      <c r="H66" s="66">
        <f t="shared" si="4"/>
        <v>16125.830009557612</v>
      </c>
    </row>
    <row r="67" spans="1:9" x14ac:dyDescent="0.25">
      <c r="C67" s="60" t="s">
        <v>356</v>
      </c>
      <c r="E67" s="60" t="s">
        <v>23</v>
      </c>
      <c r="F67" s="64">
        <v>100</v>
      </c>
      <c r="G67" s="65">
        <v>177.13698945321488</v>
      </c>
      <c r="H67" s="66">
        <f t="shared" si="4"/>
        <v>17713.698945321488</v>
      </c>
    </row>
    <row r="68" spans="1:9" x14ac:dyDescent="0.25">
      <c r="C68" s="60" t="s">
        <v>357</v>
      </c>
      <c r="E68" s="60" t="s">
        <v>332</v>
      </c>
      <c r="F68" s="64">
        <v>100</v>
      </c>
      <c r="G68" s="65">
        <v>65.702161672822029</v>
      </c>
      <c r="H68" s="66">
        <f t="shared" si="4"/>
        <v>6570.2161672822031</v>
      </c>
    </row>
    <row r="69" spans="1:9" x14ac:dyDescent="0.25">
      <c r="C69" s="60" t="s">
        <v>358</v>
      </c>
      <c r="E69" s="60" t="s">
        <v>23</v>
      </c>
      <c r="F69" s="64">
        <v>100</v>
      </c>
      <c r="G69" s="65">
        <v>148.05978529181149</v>
      </c>
      <c r="H69" s="66">
        <f t="shared" si="4"/>
        <v>14805.978529181149</v>
      </c>
    </row>
    <row r="70" spans="1:9" x14ac:dyDescent="0.25">
      <c r="C70" s="60" t="s">
        <v>359</v>
      </c>
      <c r="E70" s="60" t="s">
        <v>332</v>
      </c>
      <c r="F70" s="64">
        <v>100</v>
      </c>
      <c r="G70" s="65">
        <v>43.184428831508733</v>
      </c>
      <c r="H70" s="66">
        <f t="shared" si="4"/>
        <v>4318.4428831508731</v>
      </c>
    </row>
    <row r="72" spans="1:9" x14ac:dyDescent="0.25">
      <c r="A72" s="63">
        <v>1007</v>
      </c>
      <c r="B72" s="63" t="s">
        <v>360</v>
      </c>
      <c r="I72" s="66">
        <f>+SUM(H73:H75)</f>
        <v>15019.971122245444</v>
      </c>
    </row>
    <row r="73" spans="1:9" x14ac:dyDescent="0.25">
      <c r="C73" s="60" t="s">
        <v>361</v>
      </c>
      <c r="E73" s="60" t="s">
        <v>23</v>
      </c>
      <c r="F73" s="64">
        <v>100</v>
      </c>
      <c r="G73" s="65">
        <v>125.55479989407785</v>
      </c>
      <c r="H73" s="66">
        <f t="shared" ref="H73:H75" si="5">+F73*G73</f>
        <v>12555.479989407784</v>
      </c>
    </row>
    <row r="74" spans="1:9" x14ac:dyDescent="0.25">
      <c r="C74" s="60" t="s">
        <v>362</v>
      </c>
      <c r="E74" s="60" t="s">
        <v>23</v>
      </c>
      <c r="F74" s="64">
        <v>100</v>
      </c>
      <c r="G74" s="65">
        <v>23.640801331056117</v>
      </c>
      <c r="H74" s="66">
        <f t="shared" si="5"/>
        <v>2364.0801331056118</v>
      </c>
    </row>
    <row r="75" spans="1:9" x14ac:dyDescent="0.25">
      <c r="C75" s="60" t="s">
        <v>363</v>
      </c>
      <c r="E75" s="60" t="s">
        <v>23</v>
      </c>
      <c r="F75" s="64">
        <v>100</v>
      </c>
      <c r="G75" s="65">
        <v>1.0041099973204826</v>
      </c>
      <c r="H75" s="66">
        <f t="shared" si="5"/>
        <v>100.41099973204825</v>
      </c>
    </row>
    <row r="76" spans="1:9" x14ac:dyDescent="0.25">
      <c r="G76" s="65"/>
      <c r="H76" s="66"/>
    </row>
    <row r="77" spans="1:9" x14ac:dyDescent="0.25">
      <c r="A77" s="63">
        <v>7004</v>
      </c>
      <c r="B77" s="63" t="s">
        <v>364</v>
      </c>
      <c r="I77" s="66">
        <f>+SUM(H78:H133)</f>
        <v>22422662.207307365</v>
      </c>
    </row>
    <row r="78" spans="1:9" x14ac:dyDescent="0.25">
      <c r="C78" s="60" t="s">
        <v>365</v>
      </c>
      <c r="E78" s="60" t="s">
        <v>23</v>
      </c>
      <c r="F78" s="64">
        <v>100</v>
      </c>
      <c r="G78" s="66">
        <v>1291.6492942453854</v>
      </c>
      <c r="H78" s="66">
        <f t="shared" ref="H78:H133" si="6">+F78*G78</f>
        <v>129164.92942453854</v>
      </c>
    </row>
    <row r="79" spans="1:9" x14ac:dyDescent="0.25">
      <c r="C79" s="60" t="s">
        <v>365</v>
      </c>
      <c r="E79" s="60" t="s">
        <v>23</v>
      </c>
      <c r="F79" s="64">
        <v>100</v>
      </c>
      <c r="G79" s="66">
        <v>942.48271460845945</v>
      </c>
      <c r="H79" s="66">
        <f t="shared" si="6"/>
        <v>94248.27146084595</v>
      </c>
    </row>
    <row r="80" spans="1:9" x14ac:dyDescent="0.25">
      <c r="C80" s="60" t="s">
        <v>366</v>
      </c>
      <c r="E80" s="60" t="s">
        <v>23</v>
      </c>
      <c r="F80" s="64">
        <v>100</v>
      </c>
      <c r="G80" s="66">
        <v>112.08640043313009</v>
      </c>
      <c r="H80" s="66">
        <f t="shared" si="6"/>
        <v>11208.640043313009</v>
      </c>
    </row>
    <row r="81" spans="3:8" x14ac:dyDescent="0.25">
      <c r="C81" s="60" t="s">
        <v>367</v>
      </c>
      <c r="E81" s="60" t="s">
        <v>23</v>
      </c>
      <c r="F81" s="64">
        <v>100</v>
      </c>
      <c r="G81" s="66">
        <v>175.64869937484497</v>
      </c>
      <c r="H81" s="66">
        <f t="shared" si="6"/>
        <v>17564.869937484498</v>
      </c>
    </row>
    <row r="82" spans="3:8" x14ac:dyDescent="0.25">
      <c r="C82" s="60" t="s">
        <v>368</v>
      </c>
      <c r="E82" s="60" t="s">
        <v>23</v>
      </c>
      <c r="F82" s="64">
        <v>100</v>
      </c>
      <c r="G82" s="66">
        <v>152038.73972602739</v>
      </c>
      <c r="H82" s="66">
        <f t="shared" si="6"/>
        <v>15203873.972602738</v>
      </c>
    </row>
    <row r="83" spans="3:8" x14ac:dyDescent="0.25">
      <c r="C83" s="60" t="s">
        <v>369</v>
      </c>
      <c r="E83" s="60" t="s">
        <v>23</v>
      </c>
      <c r="F83" s="64">
        <v>100</v>
      </c>
      <c r="G83" s="66">
        <v>1025.1654733836604</v>
      </c>
      <c r="H83" s="66">
        <f t="shared" si="6"/>
        <v>102516.54733836604</v>
      </c>
    </row>
    <row r="84" spans="3:8" x14ac:dyDescent="0.25">
      <c r="C84" s="60" t="s">
        <v>370</v>
      </c>
      <c r="E84" s="60" t="s">
        <v>23</v>
      </c>
      <c r="F84" s="64">
        <v>100</v>
      </c>
      <c r="G84" s="66">
        <v>1051.4900115431988</v>
      </c>
      <c r="H84" s="66">
        <f t="shared" si="6"/>
        <v>105149.00115431988</v>
      </c>
    </row>
    <row r="85" spans="3:8" x14ac:dyDescent="0.25">
      <c r="C85" s="60" t="s">
        <v>371</v>
      </c>
      <c r="E85" s="60" t="s">
        <v>23</v>
      </c>
      <c r="F85" s="64">
        <v>100</v>
      </c>
      <c r="G85" s="66">
        <v>1683.9500171174257</v>
      </c>
      <c r="H85" s="66">
        <f t="shared" si="6"/>
        <v>168395.00171174257</v>
      </c>
    </row>
    <row r="86" spans="3:8" x14ac:dyDescent="0.25">
      <c r="C86" s="60" t="s">
        <v>372</v>
      </c>
      <c r="E86" s="60" t="s">
        <v>23</v>
      </c>
      <c r="F86" s="64">
        <v>100</v>
      </c>
      <c r="G86" s="66">
        <v>985.01480633582878</v>
      </c>
      <c r="H86" s="66">
        <f t="shared" si="6"/>
        <v>98501.480633582876</v>
      </c>
    </row>
    <row r="87" spans="3:8" x14ac:dyDescent="0.25">
      <c r="C87" s="60" t="s">
        <v>373</v>
      </c>
      <c r="E87" s="60" t="s">
        <v>23</v>
      </c>
      <c r="F87" s="64">
        <v>100</v>
      </c>
      <c r="G87" s="66">
        <v>291.33529968213304</v>
      </c>
      <c r="H87" s="66">
        <f t="shared" si="6"/>
        <v>29133.529968213305</v>
      </c>
    </row>
    <row r="88" spans="3:8" x14ac:dyDescent="0.25">
      <c r="C88" s="60" t="s">
        <v>374</v>
      </c>
      <c r="E88" s="60" t="s">
        <v>23</v>
      </c>
      <c r="F88" s="64">
        <v>100</v>
      </c>
      <c r="G88" s="66">
        <v>1595.7297297297296</v>
      </c>
      <c r="H88" s="66">
        <f t="shared" si="6"/>
        <v>159572.97297297296</v>
      </c>
    </row>
    <row r="89" spans="3:8" x14ac:dyDescent="0.25">
      <c r="C89" s="60" t="s">
        <v>374</v>
      </c>
      <c r="E89" s="60" t="s">
        <v>23</v>
      </c>
      <c r="F89" s="64">
        <v>100</v>
      </c>
      <c r="G89" s="66">
        <v>1576.0637302614793</v>
      </c>
      <c r="H89" s="66">
        <f t="shared" si="6"/>
        <v>157606.37302614792</v>
      </c>
    </row>
    <row r="90" spans="3:8" x14ac:dyDescent="0.25">
      <c r="C90" s="60" t="s">
        <v>374</v>
      </c>
      <c r="E90" s="60" t="s">
        <v>23</v>
      </c>
      <c r="F90" s="64">
        <v>100</v>
      </c>
      <c r="G90" s="66">
        <v>1595.7142857142858</v>
      </c>
      <c r="H90" s="66">
        <f t="shared" si="6"/>
        <v>159571.42857142858</v>
      </c>
    </row>
    <row r="91" spans="3:8" x14ac:dyDescent="0.25">
      <c r="C91" s="60" t="s">
        <v>374</v>
      </c>
      <c r="E91" s="60" t="s">
        <v>23</v>
      </c>
      <c r="F91" s="64">
        <v>100</v>
      </c>
      <c r="G91" s="66">
        <v>3656.5625</v>
      </c>
      <c r="H91" s="66">
        <f t="shared" si="6"/>
        <v>365656.25</v>
      </c>
    </row>
    <row r="92" spans="3:8" x14ac:dyDescent="0.25">
      <c r="C92" s="60" t="s">
        <v>374</v>
      </c>
      <c r="E92" s="60" t="s">
        <v>23</v>
      </c>
      <c r="F92" s="64">
        <v>100</v>
      </c>
      <c r="G92" s="66">
        <v>3656.9230769230771</v>
      </c>
      <c r="H92" s="66">
        <f t="shared" si="6"/>
        <v>365692.30769230769</v>
      </c>
    </row>
    <row r="93" spans="3:8" x14ac:dyDescent="0.25">
      <c r="C93" s="60" t="s">
        <v>374</v>
      </c>
      <c r="E93" s="60" t="s">
        <v>23</v>
      </c>
      <c r="F93" s="64">
        <v>100</v>
      </c>
      <c r="G93" s="66">
        <v>3654.9999999999995</v>
      </c>
      <c r="H93" s="66">
        <f t="shared" si="6"/>
        <v>365499.99999999994</v>
      </c>
    </row>
    <row r="94" spans="3:8" x14ac:dyDescent="0.25">
      <c r="C94" s="60" t="s">
        <v>374</v>
      </c>
      <c r="E94" s="60" t="s">
        <v>23</v>
      </c>
      <c r="F94" s="64">
        <v>100</v>
      </c>
      <c r="G94" s="66">
        <v>3656.6666666666665</v>
      </c>
      <c r="H94" s="66">
        <f t="shared" si="6"/>
        <v>365666.66666666663</v>
      </c>
    </row>
    <row r="95" spans="3:8" x14ac:dyDescent="0.25">
      <c r="C95" s="60" t="s">
        <v>374</v>
      </c>
      <c r="E95" s="60" t="s">
        <v>23</v>
      </c>
      <c r="F95" s="64">
        <v>100</v>
      </c>
      <c r="G95" s="66">
        <v>3656.666666666667</v>
      </c>
      <c r="H95" s="66">
        <f t="shared" si="6"/>
        <v>365666.66666666669</v>
      </c>
    </row>
    <row r="96" spans="3:8" x14ac:dyDescent="0.25">
      <c r="C96" s="60" t="s">
        <v>374</v>
      </c>
      <c r="E96" s="60" t="s">
        <v>23</v>
      </c>
      <c r="F96" s="64">
        <v>100</v>
      </c>
      <c r="G96" s="66">
        <v>3663.3333333333335</v>
      </c>
      <c r="H96" s="66">
        <f t="shared" si="6"/>
        <v>366333.33333333337</v>
      </c>
    </row>
    <row r="97" spans="3:8" x14ac:dyDescent="0.25">
      <c r="C97" s="60" t="s">
        <v>374</v>
      </c>
      <c r="E97" s="60" t="s">
        <v>23</v>
      </c>
      <c r="F97" s="64">
        <v>100</v>
      </c>
      <c r="G97" s="66">
        <v>2578.3286751403257</v>
      </c>
      <c r="H97" s="66">
        <f t="shared" si="6"/>
        <v>257832.86751403258</v>
      </c>
    </row>
    <row r="98" spans="3:8" x14ac:dyDescent="0.25">
      <c r="C98" s="60" t="s">
        <v>374</v>
      </c>
      <c r="E98" s="60" t="s">
        <v>23</v>
      </c>
      <c r="F98" s="64">
        <v>100</v>
      </c>
      <c r="G98" s="66">
        <v>620.69306930693062</v>
      </c>
      <c r="H98" s="66">
        <f t="shared" si="6"/>
        <v>62069.306930693063</v>
      </c>
    </row>
    <row r="99" spans="3:8" x14ac:dyDescent="0.25">
      <c r="C99" s="60" t="s">
        <v>374</v>
      </c>
      <c r="E99" s="60" t="s">
        <v>23</v>
      </c>
      <c r="F99" s="64">
        <v>100</v>
      </c>
      <c r="G99" s="66">
        <v>620.66666666666663</v>
      </c>
      <c r="H99" s="66">
        <f t="shared" si="6"/>
        <v>62066.666666666664</v>
      </c>
    </row>
    <row r="100" spans="3:8" x14ac:dyDescent="0.25">
      <c r="C100" s="60" t="s">
        <v>374</v>
      </c>
      <c r="E100" s="60" t="s">
        <v>23</v>
      </c>
      <c r="F100" s="64">
        <v>100</v>
      </c>
      <c r="G100" s="66">
        <v>807.14285714285711</v>
      </c>
      <c r="H100" s="66">
        <f t="shared" si="6"/>
        <v>80714.28571428571</v>
      </c>
    </row>
    <row r="101" spans="3:8" x14ac:dyDescent="0.25">
      <c r="C101" s="60" t="s">
        <v>374</v>
      </c>
      <c r="E101" s="60" t="s">
        <v>23</v>
      </c>
      <c r="F101" s="64">
        <v>100</v>
      </c>
      <c r="G101" s="66">
        <v>714.28571428571422</v>
      </c>
      <c r="H101" s="66">
        <f t="shared" si="6"/>
        <v>71428.57142857142</v>
      </c>
    </row>
    <row r="102" spans="3:8" x14ac:dyDescent="0.25">
      <c r="C102" s="60" t="s">
        <v>374</v>
      </c>
      <c r="E102" s="60" t="s">
        <v>23</v>
      </c>
      <c r="F102" s="64">
        <v>100</v>
      </c>
      <c r="G102" s="66">
        <v>714.23076923076928</v>
      </c>
      <c r="H102" s="66">
        <f t="shared" si="6"/>
        <v>71423.076923076922</v>
      </c>
    </row>
    <row r="103" spans="3:8" x14ac:dyDescent="0.25">
      <c r="C103" s="60" t="s">
        <v>374</v>
      </c>
      <c r="E103" s="60" t="s">
        <v>23</v>
      </c>
      <c r="F103" s="64">
        <v>100</v>
      </c>
      <c r="G103" s="66">
        <v>864.61538461538464</v>
      </c>
      <c r="H103" s="66">
        <f t="shared" si="6"/>
        <v>86461.538461538468</v>
      </c>
    </row>
    <row r="104" spans="3:8" x14ac:dyDescent="0.25">
      <c r="C104" s="60" t="s">
        <v>374</v>
      </c>
      <c r="E104" s="60" t="s">
        <v>23</v>
      </c>
      <c r="F104" s="64">
        <v>100</v>
      </c>
      <c r="G104" s="66">
        <v>806.92307692307702</v>
      </c>
      <c r="H104" s="66">
        <f t="shared" si="6"/>
        <v>80692.307692307702</v>
      </c>
    </row>
    <row r="105" spans="3:8" x14ac:dyDescent="0.25">
      <c r="C105" s="60" t="s">
        <v>374</v>
      </c>
      <c r="E105" s="60" t="s">
        <v>23</v>
      </c>
      <c r="F105" s="64">
        <v>100</v>
      </c>
      <c r="G105" s="66">
        <v>860</v>
      </c>
      <c r="H105" s="66">
        <f t="shared" si="6"/>
        <v>86000</v>
      </c>
    </row>
    <row r="106" spans="3:8" x14ac:dyDescent="0.25">
      <c r="C106" s="60" t="s">
        <v>374</v>
      </c>
      <c r="E106" s="60" t="s">
        <v>23</v>
      </c>
      <c r="F106" s="64">
        <v>100</v>
      </c>
      <c r="G106" s="66">
        <v>864.61538461538464</v>
      </c>
      <c r="H106" s="66">
        <f t="shared" si="6"/>
        <v>86461.538461538468</v>
      </c>
    </row>
    <row r="107" spans="3:8" x14ac:dyDescent="0.25">
      <c r="C107" s="60" t="s">
        <v>374</v>
      </c>
      <c r="E107" s="60" t="s">
        <v>23</v>
      </c>
      <c r="F107" s="64">
        <v>100</v>
      </c>
      <c r="G107" s="66">
        <v>860</v>
      </c>
      <c r="H107" s="66">
        <f t="shared" si="6"/>
        <v>86000</v>
      </c>
    </row>
    <row r="108" spans="3:8" x14ac:dyDescent="0.25">
      <c r="C108" s="60" t="s">
        <v>375</v>
      </c>
      <c r="E108" s="60" t="s">
        <v>23</v>
      </c>
      <c r="F108" s="64">
        <v>100</v>
      </c>
      <c r="G108" s="66">
        <v>870</v>
      </c>
      <c r="H108" s="66">
        <f t="shared" si="6"/>
        <v>87000</v>
      </c>
    </row>
    <row r="109" spans="3:8" x14ac:dyDescent="0.25">
      <c r="C109" s="60" t="s">
        <v>374</v>
      </c>
      <c r="E109" s="60" t="s">
        <v>23</v>
      </c>
      <c r="F109" s="64">
        <v>100</v>
      </c>
      <c r="G109" s="66">
        <v>860</v>
      </c>
      <c r="H109" s="66">
        <f t="shared" si="6"/>
        <v>86000</v>
      </c>
    </row>
    <row r="110" spans="3:8" x14ac:dyDescent="0.25">
      <c r="C110" s="60" t="s">
        <v>374</v>
      </c>
      <c r="E110" s="60" t="s">
        <v>23</v>
      </c>
      <c r="F110" s="64">
        <v>100</v>
      </c>
      <c r="G110" s="66">
        <v>1076.25</v>
      </c>
      <c r="H110" s="66">
        <f t="shared" si="6"/>
        <v>107625</v>
      </c>
    </row>
    <row r="111" spans="3:8" x14ac:dyDescent="0.25">
      <c r="C111" s="60" t="s">
        <v>374</v>
      </c>
      <c r="E111" s="60" t="s">
        <v>23</v>
      </c>
      <c r="F111" s="64">
        <v>100</v>
      </c>
      <c r="G111" s="66">
        <v>1075.8029978586724</v>
      </c>
      <c r="H111" s="66">
        <f t="shared" si="6"/>
        <v>107580.29978586723</v>
      </c>
    </row>
    <row r="112" spans="3:8" x14ac:dyDescent="0.25">
      <c r="C112" s="60" t="s">
        <v>374</v>
      </c>
      <c r="E112" s="60" t="s">
        <v>23</v>
      </c>
      <c r="F112" s="64">
        <v>100</v>
      </c>
      <c r="G112" s="66">
        <v>1080</v>
      </c>
      <c r="H112" s="66">
        <f t="shared" si="6"/>
        <v>108000</v>
      </c>
    </row>
    <row r="113" spans="3:8" x14ac:dyDescent="0.25">
      <c r="C113" s="60" t="s">
        <v>374</v>
      </c>
      <c r="E113" s="60" t="s">
        <v>23</v>
      </c>
      <c r="F113" s="64">
        <v>100</v>
      </c>
      <c r="G113" s="66">
        <v>1076</v>
      </c>
      <c r="H113" s="66">
        <f t="shared" si="6"/>
        <v>107600</v>
      </c>
    </row>
    <row r="114" spans="3:8" x14ac:dyDescent="0.25">
      <c r="C114" s="60" t="s">
        <v>374</v>
      </c>
      <c r="E114" s="60" t="s">
        <v>23</v>
      </c>
      <c r="F114" s="64">
        <v>100</v>
      </c>
      <c r="G114" s="66">
        <v>1076</v>
      </c>
      <c r="H114" s="66">
        <f t="shared" si="6"/>
        <v>107600</v>
      </c>
    </row>
    <row r="115" spans="3:8" x14ac:dyDescent="0.25">
      <c r="C115" s="60" t="s">
        <v>374</v>
      </c>
      <c r="E115" s="60" t="s">
        <v>23</v>
      </c>
      <c r="F115" s="64">
        <v>100</v>
      </c>
      <c r="G115" s="66">
        <v>1075.6756756756756</v>
      </c>
      <c r="H115" s="66">
        <f t="shared" si="6"/>
        <v>107567.56756756756</v>
      </c>
    </row>
    <row r="116" spans="3:8" x14ac:dyDescent="0.25">
      <c r="C116" s="60" t="s">
        <v>374</v>
      </c>
      <c r="E116" s="60" t="s">
        <v>23</v>
      </c>
      <c r="F116" s="64">
        <v>100</v>
      </c>
      <c r="G116" s="66">
        <v>1080</v>
      </c>
      <c r="H116" s="66">
        <f t="shared" si="6"/>
        <v>108000</v>
      </c>
    </row>
    <row r="117" spans="3:8" x14ac:dyDescent="0.25">
      <c r="C117" s="60" t="s">
        <v>374</v>
      </c>
      <c r="E117" s="60" t="s">
        <v>23</v>
      </c>
      <c r="F117" s="64">
        <v>100</v>
      </c>
      <c r="G117" s="66">
        <v>999.99999999999989</v>
      </c>
      <c r="H117" s="66">
        <f t="shared" si="6"/>
        <v>99999.999999999985</v>
      </c>
    </row>
    <row r="118" spans="3:8" x14ac:dyDescent="0.25">
      <c r="C118" s="60" t="s">
        <v>374</v>
      </c>
      <c r="E118" s="60" t="s">
        <v>23</v>
      </c>
      <c r="F118" s="64">
        <v>100</v>
      </c>
      <c r="G118" s="66">
        <v>1000</v>
      </c>
      <c r="H118" s="66">
        <f t="shared" si="6"/>
        <v>100000</v>
      </c>
    </row>
    <row r="119" spans="3:8" x14ac:dyDescent="0.25">
      <c r="C119" s="60" t="s">
        <v>376</v>
      </c>
      <c r="E119" s="60" t="s">
        <v>23</v>
      </c>
      <c r="F119" s="64">
        <v>100</v>
      </c>
      <c r="G119" s="66">
        <v>1277.1561906658228</v>
      </c>
      <c r="H119" s="66">
        <f t="shared" si="6"/>
        <v>127715.61906658228</v>
      </c>
    </row>
    <row r="120" spans="3:8" x14ac:dyDescent="0.25">
      <c r="C120" s="60" t="s">
        <v>377</v>
      </c>
      <c r="E120" s="60" t="s">
        <v>23</v>
      </c>
      <c r="F120" s="64">
        <v>100</v>
      </c>
      <c r="G120" s="66">
        <v>1048.00648</v>
      </c>
      <c r="H120" s="66">
        <f t="shared" si="6"/>
        <v>104800.648</v>
      </c>
    </row>
    <row r="121" spans="3:8" x14ac:dyDescent="0.25">
      <c r="C121" s="60" t="s">
        <v>378</v>
      </c>
      <c r="E121" s="60" t="s">
        <v>23</v>
      </c>
      <c r="F121" s="64">
        <v>100</v>
      </c>
      <c r="G121" s="66">
        <v>292.42010142951546</v>
      </c>
      <c r="H121" s="66">
        <f t="shared" si="6"/>
        <v>29242.010142951545</v>
      </c>
    </row>
    <row r="122" spans="3:8" x14ac:dyDescent="0.25">
      <c r="C122" s="60" t="s">
        <v>379</v>
      </c>
      <c r="E122" s="60" t="s">
        <v>23</v>
      </c>
      <c r="F122" s="64">
        <v>100</v>
      </c>
      <c r="G122" s="66">
        <v>1268.3366789283548</v>
      </c>
      <c r="H122" s="66">
        <f t="shared" si="6"/>
        <v>126833.66789283548</v>
      </c>
    </row>
    <row r="123" spans="3:8" x14ac:dyDescent="0.25">
      <c r="C123" s="60" t="s">
        <v>380</v>
      </c>
      <c r="E123" s="60" t="s">
        <v>23</v>
      </c>
      <c r="F123" s="64">
        <v>100</v>
      </c>
      <c r="G123" s="66">
        <v>1.1587539999999998</v>
      </c>
      <c r="H123" s="66">
        <f t="shared" si="6"/>
        <v>115.87539999999998</v>
      </c>
    </row>
    <row r="124" spans="3:8" x14ac:dyDescent="0.25">
      <c r="C124" s="60" t="s">
        <v>381</v>
      </c>
      <c r="E124" s="60" t="s">
        <v>23</v>
      </c>
      <c r="F124" s="64">
        <v>100</v>
      </c>
      <c r="G124" s="66">
        <v>201.36174211866847</v>
      </c>
      <c r="H124" s="66">
        <f t="shared" si="6"/>
        <v>20136.174211866848</v>
      </c>
    </row>
    <row r="125" spans="3:8" x14ac:dyDescent="0.25">
      <c r="C125" s="60" t="s">
        <v>381</v>
      </c>
      <c r="E125" s="60" t="s">
        <v>23</v>
      </c>
      <c r="F125" s="64">
        <v>100</v>
      </c>
      <c r="G125" s="66">
        <v>151.18938318504448</v>
      </c>
      <c r="H125" s="66">
        <f t="shared" si="6"/>
        <v>15118.938318504448</v>
      </c>
    </row>
    <row r="126" spans="3:8" x14ac:dyDescent="0.25">
      <c r="C126" s="60" t="s">
        <v>382</v>
      </c>
      <c r="E126" s="60" t="s">
        <v>23</v>
      </c>
      <c r="F126" s="64">
        <v>100</v>
      </c>
      <c r="G126" s="66">
        <v>1904.1500036651009</v>
      </c>
      <c r="H126" s="66">
        <f t="shared" si="6"/>
        <v>190415.0003665101</v>
      </c>
    </row>
    <row r="127" spans="3:8" x14ac:dyDescent="0.25">
      <c r="C127" s="60" t="s">
        <v>383</v>
      </c>
      <c r="E127" s="60" t="s">
        <v>23</v>
      </c>
      <c r="F127" s="64">
        <v>100</v>
      </c>
      <c r="G127" s="66">
        <v>1076.9427274204795</v>
      </c>
      <c r="H127" s="66">
        <f t="shared" si="6"/>
        <v>107694.27274204795</v>
      </c>
    </row>
    <row r="128" spans="3:8" x14ac:dyDescent="0.25">
      <c r="C128" s="60" t="s">
        <v>383</v>
      </c>
      <c r="E128" s="60" t="s">
        <v>23</v>
      </c>
      <c r="F128" s="64">
        <v>100</v>
      </c>
      <c r="G128" s="66">
        <v>1076.9262176329585</v>
      </c>
      <c r="H128" s="66">
        <f t="shared" si="6"/>
        <v>107692.62176329584</v>
      </c>
    </row>
    <row r="129" spans="1:10" x14ac:dyDescent="0.25">
      <c r="C129" s="60" t="s">
        <v>384</v>
      </c>
      <c r="E129" s="60" t="s">
        <v>23</v>
      </c>
      <c r="F129" s="64">
        <v>100</v>
      </c>
      <c r="G129" s="66">
        <v>1761.3599958941195</v>
      </c>
      <c r="H129" s="66">
        <f t="shared" si="6"/>
        <v>176135.99958941195</v>
      </c>
    </row>
    <row r="130" spans="1:10" x14ac:dyDescent="0.25">
      <c r="C130" s="60" t="s">
        <v>385</v>
      </c>
      <c r="E130" s="60" t="s">
        <v>23</v>
      </c>
      <c r="F130" s="64">
        <v>100</v>
      </c>
      <c r="G130" s="66">
        <v>1894.8630888161706</v>
      </c>
      <c r="H130" s="66">
        <f t="shared" si="6"/>
        <v>189486.30888161706</v>
      </c>
    </row>
    <row r="131" spans="1:10" x14ac:dyDescent="0.25">
      <c r="C131" s="60" t="s">
        <v>386</v>
      </c>
      <c r="E131" s="60" t="s">
        <v>23</v>
      </c>
      <c r="F131" s="64">
        <v>100</v>
      </c>
      <c r="G131" s="66">
        <v>1288.2235020678811</v>
      </c>
      <c r="H131" s="66">
        <f t="shared" si="6"/>
        <v>128822.35020678811</v>
      </c>
    </row>
    <row r="132" spans="1:10" x14ac:dyDescent="0.25">
      <c r="C132" s="60" t="s">
        <v>387</v>
      </c>
      <c r="E132" s="60" t="s">
        <v>23</v>
      </c>
      <c r="F132" s="64">
        <v>100</v>
      </c>
      <c r="G132" s="66">
        <v>1231.7345076084328</v>
      </c>
      <c r="H132" s="66">
        <f t="shared" si="6"/>
        <v>123173.45076084328</v>
      </c>
    </row>
    <row r="133" spans="1:10" x14ac:dyDescent="0.25">
      <c r="C133" s="60" t="s">
        <v>388</v>
      </c>
      <c r="E133" s="60" t="s">
        <v>23</v>
      </c>
      <c r="F133" s="64">
        <v>100</v>
      </c>
      <c r="G133" s="66">
        <v>1861.3399961328371</v>
      </c>
      <c r="H133" s="66">
        <f t="shared" si="6"/>
        <v>186133.9996132837</v>
      </c>
    </row>
    <row r="136" spans="1:10" ht="15.75" thickBot="1" x14ac:dyDescent="0.3"/>
    <row r="137" spans="1:10" ht="15.75" thickBot="1" x14ac:dyDescent="0.3">
      <c r="A137" s="73" t="s">
        <v>435</v>
      </c>
      <c r="B137" s="74"/>
      <c r="C137" s="74"/>
      <c r="D137" s="74"/>
      <c r="E137" s="74"/>
      <c r="F137" s="74"/>
      <c r="G137" s="74"/>
      <c r="H137" s="75"/>
      <c r="I137" s="61" t="s">
        <v>290</v>
      </c>
      <c r="J137" s="62">
        <f>+SUM(H140:H187)</f>
        <v>15614776.740000002</v>
      </c>
    </row>
    <row r="138" spans="1:10" x14ac:dyDescent="0.25">
      <c r="B138" s="60" t="s">
        <v>436</v>
      </c>
      <c r="E138" s="60" t="s">
        <v>437</v>
      </c>
      <c r="F138" s="66"/>
      <c r="H138" s="66">
        <v>86402.01</v>
      </c>
    </row>
    <row r="140" spans="1:10" x14ac:dyDescent="0.25">
      <c r="B140" s="63" t="s">
        <v>252</v>
      </c>
      <c r="C140" s="63" t="s">
        <v>291</v>
      </c>
      <c r="D140" s="63"/>
      <c r="E140" s="63" t="s">
        <v>21</v>
      </c>
      <c r="F140" s="63" t="s">
        <v>292</v>
      </c>
      <c r="G140" s="63" t="s">
        <v>293</v>
      </c>
      <c r="H140" s="61" t="s">
        <v>389</v>
      </c>
    </row>
    <row r="141" spans="1:10" x14ac:dyDescent="0.25">
      <c r="B141" s="60" t="s">
        <v>438</v>
      </c>
      <c r="C141" s="60" t="s">
        <v>439</v>
      </c>
      <c r="E141" s="60" t="s">
        <v>23</v>
      </c>
      <c r="F141" s="64">
        <v>100</v>
      </c>
      <c r="G141" s="60">
        <f>+H141/F141</f>
        <v>84457.84550000001</v>
      </c>
      <c r="H141" s="66">
        <v>8445784.5500000007</v>
      </c>
    </row>
    <row r="142" spans="1:10" x14ac:dyDescent="0.25">
      <c r="B142" s="60" t="s">
        <v>438</v>
      </c>
      <c r="C142" s="60" t="s">
        <v>440</v>
      </c>
      <c r="E142" s="60" t="s">
        <v>23</v>
      </c>
      <c r="F142" s="64">
        <v>100</v>
      </c>
      <c r="G142" s="60">
        <f>+H142/F142</f>
        <v>71689.921900000001</v>
      </c>
      <c r="H142" s="66">
        <v>7168992.1900000004</v>
      </c>
    </row>
    <row r="144" spans="1:10" customFormat="1" x14ac:dyDescent="0.25">
      <c r="B144" t="s">
        <v>450</v>
      </c>
      <c r="G144" s="47">
        <v>2008926.12</v>
      </c>
    </row>
    <row r="145" spans="1:9" customFormat="1" x14ac:dyDescent="0.25">
      <c r="G145" s="47"/>
    </row>
    <row r="146" spans="1:9" customFormat="1" x14ac:dyDescent="0.25">
      <c r="G146" s="47"/>
    </row>
    <row r="147" spans="1:9" x14ac:dyDescent="0.25">
      <c r="A147" s="60" t="s">
        <v>441</v>
      </c>
    </row>
    <row r="148" spans="1:9" x14ac:dyDescent="0.25">
      <c r="A148" s="60" t="s">
        <v>442</v>
      </c>
    </row>
    <row r="150" spans="1:9" x14ac:dyDescent="0.25">
      <c r="A150" s="76" t="s">
        <v>451</v>
      </c>
      <c r="B150" s="76"/>
      <c r="C150" s="76"/>
      <c r="D150" s="76"/>
      <c r="E150" s="76"/>
      <c r="F150" s="76"/>
      <c r="G150" s="76"/>
      <c r="H150"/>
      <c r="I150"/>
    </row>
    <row r="151" spans="1:9" x14ac:dyDescent="0.25">
      <c r="A151" s="77" t="s">
        <v>452</v>
      </c>
      <c r="B151" s="77" t="s">
        <v>453</v>
      </c>
      <c r="C151" s="77" t="s">
        <v>454</v>
      </c>
      <c r="D151" s="78" t="s">
        <v>455</v>
      </c>
      <c r="E151" s="77" t="s">
        <v>456</v>
      </c>
      <c r="F151" s="77" t="s">
        <v>457</v>
      </c>
      <c r="G151" s="77" t="s">
        <v>458</v>
      </c>
      <c r="H151"/>
      <c r="I151"/>
    </row>
    <row r="152" spans="1:9" x14ac:dyDescent="0.25">
      <c r="A152" t="s">
        <v>459</v>
      </c>
      <c r="B152" t="s">
        <v>460</v>
      </c>
      <c r="C152" t="s">
        <v>461</v>
      </c>
      <c r="D152" t="s">
        <v>462</v>
      </c>
      <c r="E152" s="47"/>
      <c r="F152" s="47">
        <v>1</v>
      </c>
      <c r="G152" s="79" t="s">
        <v>463</v>
      </c>
      <c r="H152"/>
      <c r="I152"/>
    </row>
    <row r="153" spans="1:9" x14ac:dyDescent="0.25">
      <c r="A153" t="s">
        <v>459</v>
      </c>
      <c r="B153" t="s">
        <v>460</v>
      </c>
      <c r="C153" t="s">
        <v>461</v>
      </c>
      <c r="D153" t="s">
        <v>462</v>
      </c>
      <c r="E153" s="47">
        <v>2</v>
      </c>
      <c r="F153" s="47">
        <v>0</v>
      </c>
      <c r="G153" t="s">
        <v>464</v>
      </c>
      <c r="H153"/>
      <c r="I153"/>
    </row>
    <row r="154" spans="1:9" x14ac:dyDescent="0.25">
      <c r="A154" t="s">
        <v>459</v>
      </c>
      <c r="B154" t="s">
        <v>460</v>
      </c>
      <c r="C154" t="s">
        <v>461</v>
      </c>
      <c r="D154" t="s">
        <v>462</v>
      </c>
      <c r="E154" s="47">
        <v>1.5</v>
      </c>
      <c r="F154" s="47">
        <v>0</v>
      </c>
      <c r="G154" t="s">
        <v>465</v>
      </c>
      <c r="H154"/>
      <c r="I154"/>
    </row>
    <row r="155" spans="1:9" x14ac:dyDescent="0.25">
      <c r="A155" t="s">
        <v>466</v>
      </c>
      <c r="B155" t="s">
        <v>467</v>
      </c>
      <c r="C155" t="s">
        <v>461</v>
      </c>
      <c r="D155" t="s">
        <v>462</v>
      </c>
      <c r="E155" s="47">
        <v>1</v>
      </c>
      <c r="F155" s="47">
        <v>0</v>
      </c>
      <c r="G155" t="s">
        <v>463</v>
      </c>
      <c r="H155"/>
      <c r="I155"/>
    </row>
    <row r="156" spans="1:9" x14ac:dyDescent="0.25">
      <c r="A156" t="s">
        <v>468</v>
      </c>
      <c r="B156" t="s">
        <v>469</v>
      </c>
      <c r="C156" t="s">
        <v>470</v>
      </c>
      <c r="D156" t="s">
        <v>471</v>
      </c>
      <c r="E156" s="47">
        <v>0</v>
      </c>
      <c r="F156" s="47">
        <v>2</v>
      </c>
      <c r="G156" t="s">
        <v>472</v>
      </c>
      <c r="H156"/>
      <c r="I156"/>
    </row>
    <row r="157" spans="1:9" x14ac:dyDescent="0.25">
      <c r="A157" t="s">
        <v>193</v>
      </c>
      <c r="B157" t="s">
        <v>186</v>
      </c>
      <c r="C157" t="s">
        <v>470</v>
      </c>
      <c r="D157" t="s">
        <v>471</v>
      </c>
      <c r="E157" s="47">
        <v>0</v>
      </c>
      <c r="F157" s="47">
        <v>1.5</v>
      </c>
      <c r="G157" t="s">
        <v>472</v>
      </c>
      <c r="H157"/>
      <c r="I157"/>
    </row>
    <row r="158" spans="1:9" x14ac:dyDescent="0.25">
      <c r="A158"/>
      <c r="B158"/>
      <c r="C158"/>
      <c r="D158"/>
      <c r="E158"/>
      <c r="F158"/>
      <c r="G158"/>
      <c r="H158"/>
      <c r="I158"/>
    </row>
  </sheetData>
  <mergeCells count="4">
    <mergeCell ref="B3:H3"/>
    <mergeCell ref="A38:H38"/>
    <mergeCell ref="A137:H137"/>
    <mergeCell ref="A150:G1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9"/>
  <sheetViews>
    <sheetView topLeftCell="A13" workbookViewId="0"/>
  </sheetViews>
  <sheetFormatPr baseColWidth="10" defaultColWidth="14.42578125" defaultRowHeight="15" customHeight="1" x14ac:dyDescent="0.25"/>
  <cols>
    <col min="1" max="1" width="28.7109375" customWidth="1"/>
    <col min="2" max="3" width="24" customWidth="1"/>
    <col min="4" max="4" width="32.5703125" customWidth="1"/>
    <col min="5" max="27" width="8.7109375" customWidth="1"/>
  </cols>
  <sheetData>
    <row r="1" spans="1:27" x14ac:dyDescent="0.25">
      <c r="A1" s="23" t="s">
        <v>13</v>
      </c>
      <c r="B1" s="23" t="s">
        <v>14</v>
      </c>
      <c r="C1" s="23" t="s">
        <v>15</v>
      </c>
      <c r="D1" s="23" t="s">
        <v>16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4" t="s">
        <v>17</v>
      </c>
      <c r="B2" s="4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4"/>
      <c r="B3" s="4"/>
      <c r="C3" s="4" t="s">
        <v>20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5">
      <c r="A4" s="4" t="s">
        <v>21</v>
      </c>
      <c r="B4" s="4" t="s">
        <v>22</v>
      </c>
      <c r="C4" s="4"/>
      <c r="D4" s="4" t="s">
        <v>23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4"/>
      <c r="B5" s="4"/>
      <c r="C5" s="4" t="s">
        <v>24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4" t="s">
        <v>25</v>
      </c>
      <c r="B6" s="4" t="s">
        <v>26</v>
      </c>
      <c r="C6" s="4"/>
      <c r="D6" s="4" t="s">
        <v>151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4"/>
      <c r="B7" s="4"/>
      <c r="C7" s="4" t="s">
        <v>28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4" t="s">
        <v>29</v>
      </c>
      <c r="B8" s="4" t="s">
        <v>30</v>
      </c>
      <c r="C8" s="4"/>
      <c r="D8" s="4" t="s">
        <v>33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30"/>
      <c r="B9" s="30"/>
      <c r="C9" s="26" t="s">
        <v>33</v>
      </c>
      <c r="D9" s="3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25" t="s">
        <v>152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 t="s">
        <v>153</v>
      </c>
      <c r="B13" s="4" t="s">
        <v>44</v>
      </c>
      <c r="C13" s="4"/>
      <c r="D13" s="4" t="s">
        <v>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 t="s">
        <v>154</v>
      </c>
      <c r="B14" s="4" t="s">
        <v>155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 t="s">
        <v>156</v>
      </c>
      <c r="B15" s="4" t="s">
        <v>50</v>
      </c>
      <c r="C15" s="4"/>
      <c r="D15" s="4" t="s">
        <v>51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5">
      <c r="A16" s="4" t="s">
        <v>56</v>
      </c>
      <c r="B16" s="4" t="s">
        <v>57</v>
      </c>
      <c r="C16" s="4"/>
      <c r="D16" s="4" t="s">
        <v>58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5">
      <c r="A17" s="4" t="s">
        <v>59</v>
      </c>
      <c r="B17" s="4" t="s">
        <v>57</v>
      </c>
      <c r="C17" s="4"/>
      <c r="D17" s="4" t="s">
        <v>60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5">
      <c r="A18" s="4" t="s">
        <v>68</v>
      </c>
      <c r="B18" s="4" t="s">
        <v>30</v>
      </c>
      <c r="C18" s="4"/>
      <c r="D18" s="4" t="s">
        <v>157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5">
      <c r="A20" s="4" t="s">
        <v>158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s="4" t="s">
        <v>142</v>
      </c>
      <c r="B21" s="4" t="s">
        <v>90</v>
      </c>
      <c r="C21" s="4"/>
      <c r="D21" s="4" t="s">
        <v>91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5">
      <c r="A22" s="4" t="s">
        <v>143</v>
      </c>
      <c r="B22" s="4" t="s">
        <v>90</v>
      </c>
      <c r="C22" s="4"/>
      <c r="D22" s="4" t="s">
        <v>93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5">
      <c r="A23" s="4" t="s">
        <v>159</v>
      </c>
      <c r="B23" s="4" t="s">
        <v>90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4" t="s">
        <v>97</v>
      </c>
      <c r="B25" s="4" t="s">
        <v>98</v>
      </c>
      <c r="C25" s="4"/>
      <c r="D25" s="4" t="s">
        <v>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5">
      <c r="A26" s="4" t="s">
        <v>100</v>
      </c>
      <c r="B26" s="4" t="s">
        <v>101</v>
      </c>
      <c r="C26" s="4"/>
      <c r="D26" s="4" t="s">
        <v>102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22"/>
  <sheetViews>
    <sheetView workbookViewId="0"/>
  </sheetViews>
  <sheetFormatPr baseColWidth="10" defaultColWidth="14.42578125" defaultRowHeight="15" customHeight="1" x14ac:dyDescent="0.25"/>
  <cols>
    <col min="1" max="1" width="28.7109375" customWidth="1"/>
    <col min="2" max="3" width="24" customWidth="1"/>
    <col min="4" max="4" width="32.5703125" customWidth="1"/>
    <col min="5" max="27" width="8.7109375" customWidth="1"/>
  </cols>
  <sheetData>
    <row r="1" spans="1:27" x14ac:dyDescent="0.25">
      <c r="A1" s="23" t="s">
        <v>13</v>
      </c>
      <c r="B1" s="23" t="s">
        <v>14</v>
      </c>
      <c r="C1" s="23" t="s">
        <v>15</v>
      </c>
      <c r="D1" s="23" t="s">
        <v>16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4" t="s">
        <v>17</v>
      </c>
      <c r="B2" s="4" t="s">
        <v>18</v>
      </c>
      <c r="C2" s="4"/>
      <c r="D2" s="4" t="s">
        <v>19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4"/>
      <c r="B3" s="4"/>
      <c r="C3" s="4" t="s">
        <v>20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5">
      <c r="A4" s="4" t="s">
        <v>21</v>
      </c>
      <c r="B4" s="4" t="s">
        <v>22</v>
      </c>
      <c r="C4" s="4"/>
      <c r="D4" s="4" t="s">
        <v>23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4"/>
      <c r="B5" s="4"/>
      <c r="C5" s="4" t="s">
        <v>24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4" t="s">
        <v>25</v>
      </c>
      <c r="B6" s="4" t="s">
        <v>26</v>
      </c>
      <c r="C6" s="4"/>
      <c r="D6" s="4" t="s">
        <v>27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4"/>
      <c r="B7" s="4"/>
      <c r="C7" s="4" t="s">
        <v>28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4" t="s">
        <v>29</v>
      </c>
      <c r="B8" s="4" t="s">
        <v>30</v>
      </c>
      <c r="C8" s="4"/>
      <c r="D8" s="4" t="s">
        <v>31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4"/>
      <c r="B9" s="4"/>
      <c r="C9" s="4" t="s">
        <v>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 t="s">
        <v>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 t="s">
        <v>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 t="s">
        <v>35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 t="s">
        <v>36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 t="s">
        <v>37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 t="s">
        <v>38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5">
      <c r="A17" s="27" t="s">
        <v>39</v>
      </c>
      <c r="B17" s="27" t="s">
        <v>40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x14ac:dyDescent="0.25">
      <c r="A18" s="4"/>
      <c r="B18" s="4"/>
      <c r="C18" s="28" t="s">
        <v>41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5">
      <c r="A19" s="4"/>
      <c r="B19" s="4"/>
      <c r="C19" s="28" t="s">
        <v>42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5">
      <c r="A20" s="4" t="s">
        <v>43</v>
      </c>
      <c r="B20" s="4" t="s">
        <v>44</v>
      </c>
      <c r="C20" s="4"/>
      <c r="D20" s="4" t="s">
        <v>45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 t="s">
        <v>46</v>
      </c>
      <c r="B21" s="4" t="s">
        <v>47</v>
      </c>
      <c r="C21" s="4"/>
      <c r="D21" s="4" t="s">
        <v>48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 t="s">
        <v>49</v>
      </c>
      <c r="B22" s="4" t="s">
        <v>50</v>
      </c>
      <c r="C22" s="4"/>
      <c r="D22" s="4" t="s">
        <v>51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 t="s">
        <v>52</v>
      </c>
      <c r="B23" s="4" t="s">
        <v>47</v>
      </c>
      <c r="C23" s="4"/>
      <c r="D23" s="4" t="s">
        <v>53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 t="s">
        <v>54</v>
      </c>
      <c r="B24" s="4" t="s">
        <v>47</v>
      </c>
      <c r="C24" s="4"/>
      <c r="D24" s="4" t="s">
        <v>55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 t="s">
        <v>56</v>
      </c>
      <c r="B25" s="4" t="s">
        <v>57</v>
      </c>
      <c r="C25" s="4"/>
      <c r="D25" s="4" t="s">
        <v>58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 t="s">
        <v>59</v>
      </c>
      <c r="B26" s="4" t="s">
        <v>57</v>
      </c>
      <c r="C26" s="4"/>
      <c r="D26" s="4" t="s">
        <v>60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 t="s">
        <v>61</v>
      </c>
      <c r="B27" s="4" t="s">
        <v>30</v>
      </c>
      <c r="C27" s="4"/>
      <c r="D27" s="4" t="s">
        <v>62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5">
      <c r="A28" s="4"/>
      <c r="B28" s="4"/>
      <c r="C28" s="4" t="s">
        <v>63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25">
      <c r="A29" s="4"/>
      <c r="B29" s="4"/>
      <c r="C29" s="4" t="s">
        <v>64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25">
      <c r="A30" s="4"/>
      <c r="B30" s="4"/>
      <c r="C30" s="4" t="s">
        <v>65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25">
      <c r="A31" s="4"/>
      <c r="B31" s="4"/>
      <c r="C31" s="4" t="s">
        <v>66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25">
      <c r="A32" s="4"/>
      <c r="B32" s="4"/>
      <c r="C32" s="4" t="s">
        <v>67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25">
      <c r="A33" s="4" t="s">
        <v>68</v>
      </c>
      <c r="B33" s="4" t="s">
        <v>30</v>
      </c>
      <c r="C33" s="4"/>
      <c r="D33" s="4" t="s">
        <v>69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25">
      <c r="A34" s="4" t="s">
        <v>70</v>
      </c>
      <c r="B34" s="4" t="s">
        <v>71</v>
      </c>
      <c r="C34" s="4"/>
      <c r="D34" s="4" t="s">
        <v>72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25">
      <c r="A35" s="4" t="s">
        <v>73</v>
      </c>
      <c r="B35" s="4" t="s">
        <v>71</v>
      </c>
      <c r="C35" s="4" t="s">
        <v>74</v>
      </c>
      <c r="D35" s="4" t="s">
        <v>75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25">
      <c r="A36" s="4"/>
      <c r="B36" s="4"/>
      <c r="C36" s="4" t="s">
        <v>76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25">
      <c r="A37" s="4"/>
      <c r="B37" s="4"/>
      <c r="C37" s="4" t="s">
        <v>77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25">
      <c r="A38" s="4"/>
      <c r="B38" s="4"/>
      <c r="C38" s="4" t="s">
        <v>78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25">
      <c r="A39" s="28" t="s">
        <v>79</v>
      </c>
      <c r="B39" s="28" t="s">
        <v>57</v>
      </c>
      <c r="C39" s="28" t="s">
        <v>74</v>
      </c>
      <c r="D39" s="28" t="s">
        <v>80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25">
      <c r="A40" s="28" t="s">
        <v>81</v>
      </c>
      <c r="B40" s="28" t="s">
        <v>57</v>
      </c>
      <c r="C40" s="28" t="s">
        <v>74</v>
      </c>
      <c r="D40" s="28" t="s">
        <v>60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25">
      <c r="A41" s="28" t="s">
        <v>82</v>
      </c>
      <c r="B41" s="28" t="s">
        <v>47</v>
      </c>
      <c r="C41" s="28" t="s">
        <v>74</v>
      </c>
      <c r="D41" s="28" t="s">
        <v>83</v>
      </c>
      <c r="E41" s="4" t="s">
        <v>84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28" t="s">
        <v>85</v>
      </c>
      <c r="B42" s="28" t="s">
        <v>47</v>
      </c>
      <c r="C42" s="28" t="s">
        <v>74</v>
      </c>
      <c r="D42" s="28" t="s">
        <v>86</v>
      </c>
      <c r="E42" s="4" t="s">
        <v>84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28" t="s">
        <v>87</v>
      </c>
      <c r="B43" s="28" t="s">
        <v>47</v>
      </c>
      <c r="C43" s="28" t="s">
        <v>74</v>
      </c>
      <c r="D43" s="28" t="s">
        <v>88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4" t="s">
        <v>89</v>
      </c>
      <c r="B44" s="4" t="s">
        <v>90</v>
      </c>
      <c r="C44" s="4"/>
      <c r="D44" s="4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4" t="s">
        <v>92</v>
      </c>
      <c r="B45" s="4" t="s">
        <v>90</v>
      </c>
      <c r="C45" s="4"/>
      <c r="D45" s="4" t="s">
        <v>93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4" t="s">
        <v>94</v>
      </c>
      <c r="B46" s="4" t="s">
        <v>95</v>
      </c>
      <c r="C46" s="4"/>
      <c r="D46" s="4" t="s">
        <v>96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4" t="s">
        <v>97</v>
      </c>
      <c r="B48" s="4" t="s">
        <v>98</v>
      </c>
      <c r="C48" s="4"/>
      <c r="D48" s="4" t="s">
        <v>99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4" t="s">
        <v>100</v>
      </c>
      <c r="B49" s="4" t="s">
        <v>101</v>
      </c>
      <c r="C49" s="4"/>
      <c r="D49" s="4" t="s">
        <v>102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22"/>
  <sheetViews>
    <sheetView topLeftCell="A42" workbookViewId="0"/>
  </sheetViews>
  <sheetFormatPr baseColWidth="10" defaultColWidth="14.42578125" defaultRowHeight="15" customHeight="1" x14ac:dyDescent="0.25"/>
  <cols>
    <col min="1" max="1" width="28.7109375" customWidth="1"/>
    <col min="2" max="3" width="24" customWidth="1"/>
    <col min="4" max="4" width="32.5703125" customWidth="1"/>
    <col min="5" max="27" width="8.7109375" customWidth="1"/>
  </cols>
  <sheetData>
    <row r="1" spans="1:27" x14ac:dyDescent="0.25">
      <c r="A1" s="23" t="s">
        <v>13</v>
      </c>
      <c r="B1" s="23" t="s">
        <v>14</v>
      </c>
      <c r="C1" s="23" t="s">
        <v>15</v>
      </c>
      <c r="D1" s="23" t="s">
        <v>16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4" t="s">
        <v>17</v>
      </c>
      <c r="B2" s="4" t="s">
        <v>18</v>
      </c>
      <c r="C2" s="4"/>
      <c r="D2" s="4" t="s">
        <v>19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4"/>
      <c r="B3" s="4"/>
      <c r="C3" s="4" t="s">
        <v>20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5">
      <c r="A4" s="4" t="s">
        <v>21</v>
      </c>
      <c r="B4" s="4" t="s">
        <v>22</v>
      </c>
      <c r="C4" s="4"/>
      <c r="D4" s="4" t="s">
        <v>23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4"/>
      <c r="B5" s="4"/>
      <c r="C5" s="4" t="s">
        <v>24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4" t="s">
        <v>25</v>
      </c>
      <c r="B6" s="4" t="s">
        <v>26</v>
      </c>
      <c r="C6" s="4"/>
      <c r="D6" s="4" t="s">
        <v>27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4"/>
      <c r="B7" s="4"/>
      <c r="C7" s="4" t="s">
        <v>28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4" t="s">
        <v>29</v>
      </c>
      <c r="B8" s="4" t="s">
        <v>30</v>
      </c>
      <c r="C8" s="4"/>
      <c r="D8" s="4" t="s">
        <v>31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4"/>
      <c r="B9" s="4"/>
      <c r="C9" s="4" t="s">
        <v>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 t="s">
        <v>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 t="s">
        <v>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 t="s">
        <v>35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 t="s">
        <v>36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 t="s">
        <v>37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 t="s">
        <v>38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5">
      <c r="A17" s="27" t="s">
        <v>39</v>
      </c>
      <c r="B17" s="27" t="s">
        <v>40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x14ac:dyDescent="0.25">
      <c r="A18" s="4"/>
      <c r="B18" s="4"/>
      <c r="C18" s="28" t="s">
        <v>41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5">
      <c r="A19" s="4"/>
      <c r="B19" s="4"/>
      <c r="C19" s="28" t="s">
        <v>42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5">
      <c r="A20" s="4" t="s">
        <v>43</v>
      </c>
      <c r="B20" s="4" t="s">
        <v>44</v>
      </c>
      <c r="C20" s="4"/>
      <c r="D20" s="4" t="s">
        <v>45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 t="s">
        <v>46</v>
      </c>
      <c r="B21" s="4" t="s">
        <v>47</v>
      </c>
      <c r="C21" s="4"/>
      <c r="D21" s="4" t="s">
        <v>48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 t="s">
        <v>49</v>
      </c>
      <c r="B22" s="4" t="s">
        <v>50</v>
      </c>
      <c r="C22" s="4"/>
      <c r="D22" s="4" t="s">
        <v>51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 t="s">
        <v>52</v>
      </c>
      <c r="B23" s="4" t="s">
        <v>47</v>
      </c>
      <c r="C23" s="4"/>
      <c r="D23" s="4" t="s">
        <v>53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 t="s">
        <v>54</v>
      </c>
      <c r="B24" s="4" t="s">
        <v>47</v>
      </c>
      <c r="C24" s="4"/>
      <c r="D24" s="4" t="s">
        <v>55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 t="s">
        <v>56</v>
      </c>
      <c r="B25" s="4" t="s">
        <v>57</v>
      </c>
      <c r="C25" s="4"/>
      <c r="D25" s="4" t="s">
        <v>58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 t="s">
        <v>59</v>
      </c>
      <c r="B26" s="4" t="s">
        <v>57</v>
      </c>
      <c r="C26" s="4"/>
      <c r="D26" s="4" t="s">
        <v>60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 t="s">
        <v>61</v>
      </c>
      <c r="B27" s="4" t="s">
        <v>30</v>
      </c>
      <c r="C27" s="4"/>
      <c r="D27" s="4" t="s">
        <v>62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5">
      <c r="A28" s="4"/>
      <c r="B28" s="4"/>
      <c r="C28" s="4" t="s">
        <v>63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25">
      <c r="A29" s="4"/>
      <c r="B29" s="4"/>
      <c r="C29" s="4" t="s">
        <v>64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25">
      <c r="A30" s="4"/>
      <c r="B30" s="4"/>
      <c r="C30" s="4" t="s">
        <v>65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25">
      <c r="A31" s="4"/>
      <c r="B31" s="4"/>
      <c r="C31" s="4" t="s">
        <v>66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25">
      <c r="A32" s="4"/>
      <c r="B32" s="4"/>
      <c r="C32" s="4" t="s">
        <v>67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25">
      <c r="A33" s="4" t="s">
        <v>68</v>
      </c>
      <c r="B33" s="4" t="s">
        <v>30</v>
      </c>
      <c r="C33" s="4"/>
      <c r="D33" s="4" t="s">
        <v>69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25">
      <c r="A34" s="4" t="s">
        <v>70</v>
      </c>
      <c r="B34" s="4" t="s">
        <v>71</v>
      </c>
      <c r="C34" s="4"/>
      <c r="D34" s="4" t="s">
        <v>72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25">
      <c r="A35" s="4" t="s">
        <v>73</v>
      </c>
      <c r="B35" s="4" t="s">
        <v>71</v>
      </c>
      <c r="C35" s="4" t="s">
        <v>74</v>
      </c>
      <c r="D35" s="4" t="s">
        <v>75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25">
      <c r="A36" s="4"/>
      <c r="B36" s="4"/>
      <c r="C36" s="4" t="s">
        <v>76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25">
      <c r="A37" s="4"/>
      <c r="B37" s="4"/>
      <c r="C37" s="4" t="s">
        <v>77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25">
      <c r="A38" s="4"/>
      <c r="B38" s="4"/>
      <c r="C38" s="4" t="s">
        <v>78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25">
      <c r="A39" s="28" t="s">
        <v>79</v>
      </c>
      <c r="B39" s="28" t="s">
        <v>57</v>
      </c>
      <c r="C39" s="28" t="s">
        <v>74</v>
      </c>
      <c r="D39" s="28" t="s">
        <v>80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25">
      <c r="A40" s="28" t="s">
        <v>81</v>
      </c>
      <c r="B40" s="28" t="s">
        <v>57</v>
      </c>
      <c r="C40" s="28" t="s">
        <v>74</v>
      </c>
      <c r="D40" s="28" t="s">
        <v>60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25">
      <c r="A41" s="28" t="s">
        <v>82</v>
      </c>
      <c r="B41" s="28" t="s">
        <v>47</v>
      </c>
      <c r="C41" s="28" t="s">
        <v>74</v>
      </c>
      <c r="D41" s="28" t="s">
        <v>83</v>
      </c>
      <c r="E41" s="4" t="s">
        <v>84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28" t="s">
        <v>85</v>
      </c>
      <c r="B42" s="28" t="s">
        <v>47</v>
      </c>
      <c r="C42" s="28" t="s">
        <v>74</v>
      </c>
      <c r="D42" s="28" t="s">
        <v>86</v>
      </c>
      <c r="E42" s="4" t="s">
        <v>84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28" t="s">
        <v>87</v>
      </c>
      <c r="B43" s="28" t="s">
        <v>47</v>
      </c>
      <c r="C43" s="28" t="s">
        <v>74</v>
      </c>
      <c r="D43" s="28" t="s">
        <v>88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4" t="s">
        <v>89</v>
      </c>
      <c r="B44" s="4" t="s">
        <v>90</v>
      </c>
      <c r="C44" s="4"/>
      <c r="D44" s="4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4" t="s">
        <v>92</v>
      </c>
      <c r="B45" s="4" t="s">
        <v>90</v>
      </c>
      <c r="C45" s="4"/>
      <c r="D45" s="4" t="s">
        <v>93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4" t="s">
        <v>94</v>
      </c>
      <c r="B46" s="4" t="s">
        <v>95</v>
      </c>
      <c r="C46" s="4"/>
      <c r="D46" s="4" t="s">
        <v>96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4" t="s">
        <v>97</v>
      </c>
      <c r="B48" s="4" t="s">
        <v>98</v>
      </c>
      <c r="C48" s="4"/>
      <c r="D48" s="4" t="s">
        <v>99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4" t="s">
        <v>100</v>
      </c>
      <c r="B49" s="4" t="s">
        <v>101</v>
      </c>
      <c r="C49" s="4"/>
      <c r="D49" s="4" t="s">
        <v>102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9986-AAE4-4076-99DE-A18CA0A10E6A}">
  <dimension ref="A1:L65"/>
  <sheetViews>
    <sheetView topLeftCell="A52" zoomScale="90" zoomScaleNormal="90" workbookViewId="0">
      <selection activeCell="A4" sqref="A4"/>
    </sheetView>
  </sheetViews>
  <sheetFormatPr baseColWidth="10" defaultRowHeight="15" x14ac:dyDescent="0.25"/>
  <cols>
    <col min="1" max="1" width="11.42578125" style="81"/>
    <col min="2" max="2" width="17.5703125" style="81" bestFit="1" customWidth="1"/>
    <col min="3" max="3" width="21" style="81" bestFit="1" customWidth="1"/>
    <col min="4" max="4" width="17.5703125" style="81" customWidth="1"/>
    <col min="5" max="5" width="58.7109375" style="81" bestFit="1" customWidth="1"/>
    <col min="6" max="16384" width="11.42578125" style="81"/>
  </cols>
  <sheetData>
    <row r="1" spans="1:12" x14ac:dyDescent="0.25">
      <c r="A1" s="80" t="s">
        <v>473</v>
      </c>
      <c r="B1" s="80"/>
      <c r="C1" s="80"/>
      <c r="D1" s="80"/>
      <c r="E1" s="80"/>
      <c r="F1" s="80"/>
      <c r="G1" s="80"/>
      <c r="H1" s="80"/>
      <c r="I1" s="80"/>
    </row>
    <row r="3" spans="1:12" x14ac:dyDescent="0.25">
      <c r="A3" s="82" t="s">
        <v>474</v>
      </c>
      <c r="B3" s="82" t="s">
        <v>252</v>
      </c>
      <c r="C3" s="82" t="s">
        <v>475</v>
      </c>
      <c r="D3" s="82" t="s">
        <v>476</v>
      </c>
      <c r="E3" s="82" t="s">
        <v>291</v>
      </c>
      <c r="F3" s="82" t="s">
        <v>21</v>
      </c>
      <c r="G3" s="82" t="s">
        <v>292</v>
      </c>
      <c r="H3" s="83" t="s">
        <v>293</v>
      </c>
      <c r="I3" s="84" t="s">
        <v>477</v>
      </c>
    </row>
    <row r="4" spans="1:12" s="85" customFormat="1" x14ac:dyDescent="0.25">
      <c r="A4" s="81" t="s">
        <v>478</v>
      </c>
      <c r="B4" s="81" t="s">
        <v>479</v>
      </c>
      <c r="C4" s="81" t="s">
        <v>480</v>
      </c>
      <c r="D4" s="81" t="s">
        <v>481</v>
      </c>
      <c r="E4" s="81" t="s">
        <v>482</v>
      </c>
      <c r="F4" s="81" t="s">
        <v>23</v>
      </c>
      <c r="G4" s="81">
        <v>1000</v>
      </c>
      <c r="H4" s="81"/>
      <c r="I4" s="81">
        <f>+G4</f>
        <v>1000</v>
      </c>
      <c r="J4" s="81"/>
      <c r="K4" s="81"/>
      <c r="L4" s="81"/>
    </row>
    <row r="5" spans="1:12" x14ac:dyDescent="0.25">
      <c r="A5" s="81" t="s">
        <v>478</v>
      </c>
      <c r="B5" s="81" t="s">
        <v>479</v>
      </c>
      <c r="C5" s="81" t="s">
        <v>480</v>
      </c>
      <c r="D5" s="81" t="s">
        <v>476</v>
      </c>
      <c r="E5" s="81" t="s">
        <v>483</v>
      </c>
      <c r="F5" s="81" t="s">
        <v>23</v>
      </c>
      <c r="G5" s="81">
        <v>500</v>
      </c>
      <c r="I5" s="81">
        <f>+G5</f>
        <v>500</v>
      </c>
    </row>
    <row r="6" spans="1:12" x14ac:dyDescent="0.25">
      <c r="A6" s="81" t="s">
        <v>478</v>
      </c>
      <c r="B6" s="81" t="s">
        <v>479</v>
      </c>
      <c r="C6" s="81" t="s">
        <v>480</v>
      </c>
      <c r="D6" s="81" t="s">
        <v>476</v>
      </c>
      <c r="E6" s="81" t="s">
        <v>484</v>
      </c>
      <c r="F6" s="81" t="s">
        <v>23</v>
      </c>
      <c r="G6" s="81">
        <v>-100</v>
      </c>
      <c r="I6" s="81">
        <f>+G6</f>
        <v>-100</v>
      </c>
    </row>
    <row r="7" spans="1:12" x14ac:dyDescent="0.25">
      <c r="A7" s="81" t="s">
        <v>478</v>
      </c>
      <c r="B7" s="81" t="s">
        <v>479</v>
      </c>
      <c r="C7" s="81" t="s">
        <v>480</v>
      </c>
      <c r="D7" s="81" t="s">
        <v>476</v>
      </c>
      <c r="E7" s="81" t="s">
        <v>485</v>
      </c>
      <c r="F7" s="81" t="s">
        <v>23</v>
      </c>
      <c r="G7" s="81">
        <v>-100</v>
      </c>
      <c r="I7" s="81">
        <f>+G7</f>
        <v>-100</v>
      </c>
    </row>
    <row r="8" spans="1:12" x14ac:dyDescent="0.25">
      <c r="A8" s="81" t="s">
        <v>478</v>
      </c>
      <c r="B8" s="81" t="s">
        <v>479</v>
      </c>
      <c r="C8" s="81" t="s">
        <v>480</v>
      </c>
      <c r="D8" s="81" t="s">
        <v>476</v>
      </c>
      <c r="E8" s="81" t="s">
        <v>486</v>
      </c>
      <c r="F8" s="81" t="s">
        <v>23</v>
      </c>
      <c r="G8" s="81">
        <v>5</v>
      </c>
      <c r="I8" s="81">
        <f>+G8</f>
        <v>5</v>
      </c>
    </row>
    <row r="9" spans="1:12" x14ac:dyDescent="0.25">
      <c r="A9" s="81" t="s">
        <v>487</v>
      </c>
      <c r="B9" s="81" t="s">
        <v>326</v>
      </c>
      <c r="C9" s="81" t="s">
        <v>488</v>
      </c>
      <c r="D9" s="81" t="s">
        <v>481</v>
      </c>
      <c r="E9" s="81" t="s">
        <v>489</v>
      </c>
      <c r="F9" s="81" t="s">
        <v>23</v>
      </c>
      <c r="G9" s="81">
        <v>200</v>
      </c>
      <c r="H9" s="81">
        <v>1</v>
      </c>
      <c r="I9" s="81">
        <f>+G9*H9</f>
        <v>200</v>
      </c>
    </row>
    <row r="10" spans="1:12" x14ac:dyDescent="0.25">
      <c r="A10" s="81" t="s">
        <v>487</v>
      </c>
      <c r="B10" s="81" t="s">
        <v>326</v>
      </c>
      <c r="C10" s="81" t="s">
        <v>488</v>
      </c>
      <c r="D10" s="81" t="s">
        <v>476</v>
      </c>
      <c r="E10" s="81" t="s">
        <v>483</v>
      </c>
      <c r="I10" s="81">
        <f>+G10</f>
        <v>0</v>
      </c>
    </row>
    <row r="11" spans="1:12" x14ac:dyDescent="0.25">
      <c r="A11" s="81" t="s">
        <v>487</v>
      </c>
      <c r="B11" s="81" t="s">
        <v>326</v>
      </c>
      <c r="C11" s="81" t="s">
        <v>488</v>
      </c>
      <c r="D11" s="81" t="s">
        <v>476</v>
      </c>
      <c r="E11" s="81" t="s">
        <v>484</v>
      </c>
      <c r="I11" s="81">
        <v>-1</v>
      </c>
    </row>
    <row r="12" spans="1:12" x14ac:dyDescent="0.25">
      <c r="A12" s="81" t="s">
        <v>487</v>
      </c>
      <c r="B12" s="81" t="s">
        <v>326</v>
      </c>
      <c r="C12" s="81" t="s">
        <v>488</v>
      </c>
      <c r="D12" s="81" t="s">
        <v>476</v>
      </c>
      <c r="E12" s="81" t="s">
        <v>485</v>
      </c>
      <c r="I12" s="81">
        <v>-1</v>
      </c>
    </row>
    <row r="13" spans="1:12" x14ac:dyDescent="0.25">
      <c r="A13" s="81" t="s">
        <v>487</v>
      </c>
      <c r="B13" s="81" t="s">
        <v>326</v>
      </c>
      <c r="C13" s="81" t="s">
        <v>488</v>
      </c>
      <c r="D13" s="81" t="s">
        <v>476</v>
      </c>
      <c r="E13" s="81" t="s">
        <v>490</v>
      </c>
      <c r="I13" s="81">
        <v>1</v>
      </c>
    </row>
    <row r="14" spans="1:12" x14ac:dyDescent="0.25">
      <c r="A14" s="81" t="s">
        <v>487</v>
      </c>
      <c r="B14" s="81" t="s">
        <v>326</v>
      </c>
      <c r="C14" s="81" t="s">
        <v>491</v>
      </c>
      <c r="D14" s="81" t="s">
        <v>481</v>
      </c>
      <c r="E14" s="81" t="s">
        <v>489</v>
      </c>
      <c r="F14" s="81" t="s">
        <v>23</v>
      </c>
      <c r="G14" s="81">
        <v>1</v>
      </c>
      <c r="I14" s="81">
        <v>1</v>
      </c>
    </row>
    <row r="15" spans="1:12" x14ac:dyDescent="0.25">
      <c r="A15" s="81" t="s">
        <v>487</v>
      </c>
      <c r="B15" s="81" t="s">
        <v>326</v>
      </c>
      <c r="C15" s="81" t="s">
        <v>491</v>
      </c>
      <c r="D15" s="81" t="s">
        <v>481</v>
      </c>
      <c r="E15" s="81" t="s">
        <v>492</v>
      </c>
      <c r="F15" s="81" t="s">
        <v>23</v>
      </c>
      <c r="G15" s="81">
        <v>1</v>
      </c>
      <c r="I15" s="81">
        <v>1</v>
      </c>
    </row>
    <row r="16" spans="1:12" x14ac:dyDescent="0.25">
      <c r="A16" s="81" t="s">
        <v>487</v>
      </c>
      <c r="B16" s="81" t="s">
        <v>326</v>
      </c>
      <c r="C16" s="81" t="s">
        <v>491</v>
      </c>
      <c r="D16" s="81" t="s">
        <v>481</v>
      </c>
      <c r="E16" s="81" t="s">
        <v>493</v>
      </c>
      <c r="F16" s="81" t="s">
        <v>494</v>
      </c>
      <c r="G16" s="81">
        <v>1</v>
      </c>
      <c r="I16" s="81">
        <v>1</v>
      </c>
    </row>
    <row r="17" spans="1:9" x14ac:dyDescent="0.25">
      <c r="A17" s="81" t="s">
        <v>487</v>
      </c>
      <c r="B17" s="81" t="s">
        <v>326</v>
      </c>
      <c r="C17" s="81" t="s">
        <v>491</v>
      </c>
      <c r="D17" s="81" t="s">
        <v>476</v>
      </c>
      <c r="E17" s="81" t="s">
        <v>469</v>
      </c>
      <c r="I17" s="81">
        <v>1</v>
      </c>
    </row>
    <row r="18" spans="1:9" x14ac:dyDescent="0.25">
      <c r="A18" s="81" t="s">
        <v>487</v>
      </c>
      <c r="B18" s="81" t="s">
        <v>326</v>
      </c>
      <c r="C18" s="81" t="s">
        <v>491</v>
      </c>
      <c r="D18" s="81" t="s">
        <v>476</v>
      </c>
      <c r="E18" s="81" t="s">
        <v>490</v>
      </c>
      <c r="I18" s="81">
        <v>1</v>
      </c>
    </row>
    <row r="19" spans="1:9" x14ac:dyDescent="0.25">
      <c r="A19" s="81" t="s">
        <v>487</v>
      </c>
      <c r="B19" s="81" t="s">
        <v>326</v>
      </c>
      <c r="C19" s="81" t="s">
        <v>491</v>
      </c>
      <c r="D19" s="81" t="s">
        <v>476</v>
      </c>
      <c r="E19" s="81" t="s">
        <v>495</v>
      </c>
      <c r="I19" s="81">
        <v>1</v>
      </c>
    </row>
    <row r="20" spans="1:9" x14ac:dyDescent="0.25">
      <c r="A20" s="81" t="s">
        <v>487</v>
      </c>
      <c r="B20" s="81" t="s">
        <v>496</v>
      </c>
      <c r="C20" s="81">
        <v>1415600</v>
      </c>
      <c r="D20" s="81" t="s">
        <v>481</v>
      </c>
      <c r="E20" s="81" t="s">
        <v>497</v>
      </c>
      <c r="G20" s="81">
        <v>2</v>
      </c>
      <c r="I20" s="81">
        <v>1</v>
      </c>
    </row>
    <row r="21" spans="1:9" x14ac:dyDescent="0.25">
      <c r="A21" s="81" t="s">
        <v>487</v>
      </c>
      <c r="B21" s="81" t="s">
        <v>496</v>
      </c>
      <c r="C21" s="81">
        <v>1415600</v>
      </c>
      <c r="D21" s="81" t="s">
        <v>476</v>
      </c>
      <c r="E21" s="81" t="s">
        <v>498</v>
      </c>
      <c r="G21" s="81">
        <v>-2</v>
      </c>
      <c r="I21" s="81">
        <v>1</v>
      </c>
    </row>
    <row r="22" spans="1:9" x14ac:dyDescent="0.25">
      <c r="A22" s="81" t="s">
        <v>487</v>
      </c>
      <c r="B22" s="81" t="s">
        <v>496</v>
      </c>
      <c r="C22" s="81">
        <v>1415600</v>
      </c>
      <c r="D22" s="81" t="s">
        <v>476</v>
      </c>
      <c r="E22" s="81" t="s">
        <v>499</v>
      </c>
      <c r="G22" s="81">
        <v>2</v>
      </c>
      <c r="I22" s="81">
        <v>1</v>
      </c>
    </row>
    <row r="23" spans="1:9" x14ac:dyDescent="0.25">
      <c r="A23" s="81" t="s">
        <v>487</v>
      </c>
      <c r="B23" s="81" t="s">
        <v>496</v>
      </c>
      <c r="C23" s="81">
        <v>1415600</v>
      </c>
      <c r="D23" s="81" t="s">
        <v>476</v>
      </c>
      <c r="E23" s="81" t="s">
        <v>500</v>
      </c>
      <c r="G23" s="81">
        <v>1</v>
      </c>
      <c r="I23" s="81">
        <v>1</v>
      </c>
    </row>
    <row r="24" spans="1:9" x14ac:dyDescent="0.25">
      <c r="A24" s="81" t="s">
        <v>487</v>
      </c>
      <c r="B24" s="81" t="s">
        <v>496</v>
      </c>
      <c r="C24" s="81">
        <v>1415600</v>
      </c>
      <c r="D24" s="81" t="s">
        <v>476</v>
      </c>
      <c r="E24" s="81" t="s">
        <v>501</v>
      </c>
      <c r="G24" s="81">
        <v>0</v>
      </c>
      <c r="I24" s="81">
        <v>-0.05</v>
      </c>
    </row>
    <row r="25" spans="1:9" x14ac:dyDescent="0.25">
      <c r="A25" s="81" t="s">
        <v>487</v>
      </c>
      <c r="B25" s="81" t="s">
        <v>496</v>
      </c>
      <c r="C25" s="81">
        <v>1415600</v>
      </c>
      <c r="D25" s="81" t="s">
        <v>481</v>
      </c>
      <c r="E25" s="81" t="s">
        <v>502</v>
      </c>
      <c r="G25" s="81">
        <v>10</v>
      </c>
      <c r="I25" s="81">
        <v>15</v>
      </c>
    </row>
    <row r="26" spans="1:9" x14ac:dyDescent="0.25">
      <c r="A26" s="81" t="s">
        <v>487</v>
      </c>
      <c r="B26" s="81" t="s">
        <v>496</v>
      </c>
      <c r="C26" s="81">
        <v>1415600</v>
      </c>
      <c r="D26" s="81" t="s">
        <v>476</v>
      </c>
      <c r="E26" s="81" t="s">
        <v>503</v>
      </c>
      <c r="G26" s="81">
        <v>-0.5</v>
      </c>
      <c r="I26" s="81">
        <v>-1</v>
      </c>
    </row>
    <row r="27" spans="1:9" x14ac:dyDescent="0.25">
      <c r="A27" s="81" t="s">
        <v>487</v>
      </c>
      <c r="B27" s="81" t="s">
        <v>496</v>
      </c>
      <c r="C27" s="81">
        <v>1415600</v>
      </c>
      <c r="D27" s="81" t="s">
        <v>476</v>
      </c>
      <c r="E27" s="81" t="s">
        <v>504</v>
      </c>
      <c r="G27" s="81">
        <v>0.5</v>
      </c>
      <c r="I27" s="81">
        <v>1</v>
      </c>
    </row>
    <row r="28" spans="1:9" x14ac:dyDescent="0.25">
      <c r="A28" s="81" t="s">
        <v>487</v>
      </c>
      <c r="B28" s="81" t="s">
        <v>496</v>
      </c>
      <c r="C28" s="81">
        <v>1415600</v>
      </c>
      <c r="D28" s="81" t="s">
        <v>476</v>
      </c>
      <c r="E28" s="81" t="s">
        <v>505</v>
      </c>
      <c r="G28" s="81">
        <v>10</v>
      </c>
      <c r="I28" s="81">
        <v>12</v>
      </c>
    </row>
    <row r="29" spans="1:9" x14ac:dyDescent="0.25">
      <c r="A29" s="81" t="s">
        <v>487</v>
      </c>
      <c r="B29" s="81" t="s">
        <v>496</v>
      </c>
      <c r="C29" s="81">
        <v>1415600</v>
      </c>
      <c r="D29" s="81" t="s">
        <v>476</v>
      </c>
      <c r="E29" s="81" t="s">
        <v>506</v>
      </c>
      <c r="G29" s="81">
        <v>0</v>
      </c>
      <c r="I29" s="81">
        <v>250</v>
      </c>
    </row>
    <row r="30" spans="1:9" x14ac:dyDescent="0.25">
      <c r="A30" s="81" t="s">
        <v>487</v>
      </c>
      <c r="B30" s="81" t="s">
        <v>496</v>
      </c>
      <c r="C30" s="81">
        <v>1415600</v>
      </c>
      <c r="D30" s="81" t="s">
        <v>481</v>
      </c>
      <c r="E30" s="81" t="s">
        <v>507</v>
      </c>
      <c r="F30" s="81" t="s">
        <v>23</v>
      </c>
      <c r="G30" s="81">
        <v>1</v>
      </c>
      <c r="I30" s="81">
        <v>1</v>
      </c>
    </row>
    <row r="31" spans="1:9" x14ac:dyDescent="0.25">
      <c r="A31" s="81" t="s">
        <v>487</v>
      </c>
      <c r="B31" s="81" t="s">
        <v>496</v>
      </c>
      <c r="C31" s="81">
        <v>1415600</v>
      </c>
      <c r="D31" s="81" t="s">
        <v>476</v>
      </c>
      <c r="E31" s="81" t="s">
        <v>508</v>
      </c>
      <c r="F31" s="81" t="s">
        <v>23</v>
      </c>
      <c r="G31" s="81">
        <v>-10</v>
      </c>
      <c r="I31" s="81">
        <v>-10</v>
      </c>
    </row>
    <row r="32" spans="1:9" x14ac:dyDescent="0.25">
      <c r="A32" s="81" t="s">
        <v>487</v>
      </c>
      <c r="B32" s="81" t="s">
        <v>496</v>
      </c>
      <c r="C32" s="81">
        <v>1415600</v>
      </c>
      <c r="D32" s="81" t="s">
        <v>476</v>
      </c>
      <c r="E32" s="81" t="s">
        <v>509</v>
      </c>
      <c r="F32" s="81" t="s">
        <v>23</v>
      </c>
      <c r="G32" s="81">
        <v>20</v>
      </c>
      <c r="I32" s="81">
        <v>20</v>
      </c>
    </row>
    <row r="33" spans="1:10" x14ac:dyDescent="0.25">
      <c r="A33" s="81" t="s">
        <v>487</v>
      </c>
      <c r="B33" s="81" t="s">
        <v>496</v>
      </c>
      <c r="C33" s="81">
        <v>1415600</v>
      </c>
      <c r="D33" s="81" t="s">
        <v>476</v>
      </c>
      <c r="E33" s="81" t="s">
        <v>510</v>
      </c>
      <c r="F33" s="81" t="s">
        <v>23</v>
      </c>
      <c r="G33" s="81">
        <v>10</v>
      </c>
      <c r="I33" s="81">
        <v>10</v>
      </c>
    </row>
    <row r="34" spans="1:10" x14ac:dyDescent="0.25">
      <c r="A34" s="81" t="s">
        <v>487</v>
      </c>
      <c r="B34" s="81" t="s">
        <v>496</v>
      </c>
      <c r="C34" s="81">
        <v>1415600</v>
      </c>
      <c r="D34" s="81" t="s">
        <v>476</v>
      </c>
      <c r="E34" s="81" t="s">
        <v>511</v>
      </c>
      <c r="F34" s="81" t="s">
        <v>23</v>
      </c>
    </row>
    <row r="35" spans="1:10" x14ac:dyDescent="0.25">
      <c r="A35" s="81" t="s">
        <v>487</v>
      </c>
      <c r="B35" s="81" t="s">
        <v>496</v>
      </c>
      <c r="C35" s="81">
        <v>1415600</v>
      </c>
      <c r="D35" s="81" t="s">
        <v>476</v>
      </c>
      <c r="E35" s="81" t="s">
        <v>512</v>
      </c>
      <c r="F35" s="81" t="s">
        <v>23</v>
      </c>
      <c r="G35" s="81">
        <v>-12</v>
      </c>
      <c r="I35" s="81">
        <v>-12</v>
      </c>
    </row>
    <row r="36" spans="1:10" x14ac:dyDescent="0.25">
      <c r="A36" s="81" t="s">
        <v>487</v>
      </c>
      <c r="B36" s="81" t="s">
        <v>496</v>
      </c>
      <c r="C36" s="81">
        <v>1415600</v>
      </c>
      <c r="D36" s="81" t="s">
        <v>481</v>
      </c>
      <c r="E36" s="81" t="s">
        <v>513</v>
      </c>
      <c r="F36" s="81" t="s">
        <v>332</v>
      </c>
      <c r="G36" s="81">
        <v>100</v>
      </c>
      <c r="I36" s="81">
        <v>118</v>
      </c>
    </row>
    <row r="37" spans="1:10" x14ac:dyDescent="0.25">
      <c r="A37" s="81" t="s">
        <v>487</v>
      </c>
      <c r="B37" s="81" t="s">
        <v>496</v>
      </c>
      <c r="C37" s="81">
        <v>1415600</v>
      </c>
      <c r="D37" s="81" t="s">
        <v>476</v>
      </c>
      <c r="E37" s="81" t="s">
        <v>514</v>
      </c>
      <c r="F37" s="81" t="s">
        <v>332</v>
      </c>
      <c r="G37" s="81">
        <v>-76</v>
      </c>
      <c r="I37" s="81">
        <v>-88</v>
      </c>
    </row>
    <row r="38" spans="1:10" x14ac:dyDescent="0.25">
      <c r="A38" s="81" t="s">
        <v>487</v>
      </c>
      <c r="B38" s="81" t="s">
        <v>496</v>
      </c>
      <c r="C38" s="81">
        <v>1415600</v>
      </c>
      <c r="D38" s="81" t="s">
        <v>476</v>
      </c>
      <c r="E38" s="81" t="s">
        <v>515</v>
      </c>
      <c r="F38" s="81" t="s">
        <v>332</v>
      </c>
      <c r="G38" s="81">
        <v>76</v>
      </c>
      <c r="I38" s="81">
        <v>87</v>
      </c>
    </row>
    <row r="39" spans="1:10" x14ac:dyDescent="0.25">
      <c r="A39" s="81" t="s">
        <v>487</v>
      </c>
      <c r="B39" s="81" t="s">
        <v>496</v>
      </c>
      <c r="C39" s="81">
        <v>1415600</v>
      </c>
      <c r="D39" s="81" t="s">
        <v>476</v>
      </c>
      <c r="E39" s="81" t="s">
        <v>516</v>
      </c>
      <c r="F39" s="81" t="s">
        <v>332</v>
      </c>
      <c r="G39" s="81">
        <v>0.16</v>
      </c>
      <c r="I39" s="81">
        <v>0.18</v>
      </c>
    </row>
    <row r="40" spans="1:10" x14ac:dyDescent="0.25">
      <c r="A40" s="81" t="s">
        <v>487</v>
      </c>
      <c r="B40" s="81" t="s">
        <v>496</v>
      </c>
      <c r="C40" s="81">
        <v>1415600</v>
      </c>
      <c r="D40" s="81" t="s">
        <v>476</v>
      </c>
      <c r="E40" s="81" t="s">
        <v>517</v>
      </c>
      <c r="F40" s="81" t="s">
        <v>332</v>
      </c>
      <c r="G40" s="81">
        <v>0</v>
      </c>
      <c r="I40" s="81">
        <v>-82.8</v>
      </c>
    </row>
    <row r="41" spans="1:10" x14ac:dyDescent="0.25">
      <c r="A41" s="81" t="s">
        <v>435</v>
      </c>
      <c r="B41" s="81" t="s">
        <v>496</v>
      </c>
      <c r="C41" s="81">
        <v>25896004</v>
      </c>
      <c r="D41" s="81" t="s">
        <v>481</v>
      </c>
      <c r="E41" s="81" t="s">
        <v>23</v>
      </c>
      <c r="F41" s="81" t="s">
        <v>23</v>
      </c>
      <c r="G41" s="81">
        <v>1000</v>
      </c>
      <c r="I41" s="81">
        <v>1000</v>
      </c>
    </row>
    <row r="42" spans="1:10" x14ac:dyDescent="0.25">
      <c r="A42" s="81" t="s">
        <v>435</v>
      </c>
      <c r="B42" s="81" t="s">
        <v>496</v>
      </c>
      <c r="C42" s="81">
        <v>25896004</v>
      </c>
      <c r="D42" s="81" t="s">
        <v>476</v>
      </c>
      <c r="E42" s="81" t="s">
        <v>518</v>
      </c>
      <c r="F42" s="81" t="s">
        <v>23</v>
      </c>
      <c r="G42" s="81">
        <v>10</v>
      </c>
      <c r="I42" s="81">
        <v>10</v>
      </c>
    </row>
    <row r="43" spans="1:10" x14ac:dyDescent="0.25">
      <c r="A43" s="81" t="s">
        <v>435</v>
      </c>
      <c r="B43" s="81" t="s">
        <v>496</v>
      </c>
      <c r="C43" s="81">
        <v>25896004</v>
      </c>
      <c r="D43" s="81" t="s">
        <v>476</v>
      </c>
      <c r="E43" s="81" t="s">
        <v>519</v>
      </c>
      <c r="F43" s="81" t="s">
        <v>23</v>
      </c>
      <c r="G43" s="81">
        <v>20</v>
      </c>
      <c r="I43" s="81">
        <v>20</v>
      </c>
    </row>
    <row r="44" spans="1:10" x14ac:dyDescent="0.25">
      <c r="A44" s="81" t="s">
        <v>435</v>
      </c>
      <c r="B44" s="81" t="s">
        <v>496</v>
      </c>
      <c r="C44" s="81">
        <v>25896004</v>
      </c>
      <c r="D44" s="81" t="s">
        <v>476</v>
      </c>
      <c r="E44" s="81" t="s">
        <v>520</v>
      </c>
      <c r="F44" s="81" t="s">
        <v>23</v>
      </c>
    </row>
    <row r="45" spans="1:10" x14ac:dyDescent="0.25">
      <c r="A45" s="81" t="s">
        <v>435</v>
      </c>
      <c r="B45" s="81" t="s">
        <v>496</v>
      </c>
      <c r="C45" s="81">
        <v>25896004</v>
      </c>
      <c r="D45" s="81" t="s">
        <v>476</v>
      </c>
      <c r="E45" s="81" t="s">
        <v>521</v>
      </c>
      <c r="F45" s="81" t="s">
        <v>23</v>
      </c>
      <c r="G45" s="81">
        <v>-2</v>
      </c>
      <c r="I45" s="81">
        <v>-2</v>
      </c>
      <c r="J45" s="81" t="s">
        <v>522</v>
      </c>
    </row>
    <row r="46" spans="1:10" x14ac:dyDescent="0.25">
      <c r="A46" s="81" t="s">
        <v>435</v>
      </c>
      <c r="B46" s="81" t="s">
        <v>496</v>
      </c>
      <c r="C46" s="81">
        <v>25896004</v>
      </c>
      <c r="D46" s="81" t="s">
        <v>476</v>
      </c>
      <c r="E46" s="81" t="s">
        <v>523</v>
      </c>
      <c r="F46" s="81" t="s">
        <v>23</v>
      </c>
      <c r="G46" s="81">
        <v>-10</v>
      </c>
      <c r="I46" s="81">
        <v>-10</v>
      </c>
      <c r="J46" s="81" t="s">
        <v>524</v>
      </c>
    </row>
    <row r="47" spans="1:10" x14ac:dyDescent="0.25">
      <c r="A47" s="81" t="s">
        <v>435</v>
      </c>
      <c r="B47" s="81" t="s">
        <v>496</v>
      </c>
      <c r="C47" s="81">
        <v>25896004</v>
      </c>
      <c r="D47" s="81" t="s">
        <v>476</v>
      </c>
      <c r="E47" s="81" t="s">
        <v>525</v>
      </c>
      <c r="F47" s="81" t="s">
        <v>23</v>
      </c>
      <c r="G47" s="81">
        <v>-50</v>
      </c>
      <c r="I47" s="81">
        <v>-50</v>
      </c>
    </row>
    <row r="48" spans="1:10" x14ac:dyDescent="0.25">
      <c r="A48" s="81" t="s">
        <v>435</v>
      </c>
      <c r="B48" s="81" t="s">
        <v>496</v>
      </c>
      <c r="C48" s="81">
        <v>25896004</v>
      </c>
      <c r="D48" s="81" t="s">
        <v>476</v>
      </c>
      <c r="E48" s="81" t="s">
        <v>258</v>
      </c>
      <c r="F48" s="81" t="s">
        <v>23</v>
      </c>
      <c r="G48" s="81">
        <v>7</v>
      </c>
      <c r="I48" s="81">
        <v>7</v>
      </c>
    </row>
    <row r="49" spans="1:12" x14ac:dyDescent="0.25">
      <c r="A49" s="81" t="s">
        <v>435</v>
      </c>
      <c r="B49" s="81" t="s">
        <v>496</v>
      </c>
      <c r="C49" s="81">
        <v>25896002</v>
      </c>
      <c r="D49" s="81" t="s">
        <v>481</v>
      </c>
      <c r="E49" s="81" t="s">
        <v>526</v>
      </c>
      <c r="F49" s="81" t="s">
        <v>332</v>
      </c>
      <c r="G49" s="81">
        <v>3.5</v>
      </c>
      <c r="I49" s="81">
        <v>4</v>
      </c>
    </row>
    <row r="50" spans="1:12" x14ac:dyDescent="0.25">
      <c r="A50" s="81" t="s">
        <v>435</v>
      </c>
      <c r="B50" s="81" t="s">
        <v>496</v>
      </c>
      <c r="C50" s="81">
        <v>25896002</v>
      </c>
      <c r="D50" s="81" t="s">
        <v>481</v>
      </c>
      <c r="E50" s="81" t="s">
        <v>527</v>
      </c>
      <c r="F50" s="81" t="s">
        <v>332</v>
      </c>
      <c r="G50" s="81">
        <v>0</v>
      </c>
      <c r="I50" s="81">
        <v>0.2</v>
      </c>
    </row>
    <row r="51" spans="1:12" x14ac:dyDescent="0.25">
      <c r="A51" s="81" t="s">
        <v>435</v>
      </c>
      <c r="B51" s="81" t="s">
        <v>496</v>
      </c>
      <c r="C51" s="81">
        <v>25896002</v>
      </c>
      <c r="D51" s="81" t="s">
        <v>481</v>
      </c>
      <c r="E51" s="81" t="s">
        <v>528</v>
      </c>
      <c r="F51" s="81" t="s">
        <v>332</v>
      </c>
      <c r="G51" s="81">
        <v>100</v>
      </c>
      <c r="I51" s="81">
        <v>120</v>
      </c>
    </row>
    <row r="52" spans="1:12" x14ac:dyDescent="0.25">
      <c r="A52" s="81" t="s">
        <v>435</v>
      </c>
      <c r="B52" s="81" t="s">
        <v>496</v>
      </c>
      <c r="C52" s="81">
        <v>25896002</v>
      </c>
      <c r="D52" s="81" t="s">
        <v>481</v>
      </c>
      <c r="E52" s="81" t="s">
        <v>525</v>
      </c>
      <c r="F52" s="81" t="s">
        <v>332</v>
      </c>
      <c r="G52" s="81">
        <v>-1</v>
      </c>
      <c r="I52" s="81">
        <v>-1</v>
      </c>
    </row>
    <row r="53" spans="1:12" x14ac:dyDescent="0.25">
      <c r="A53" s="81" t="s">
        <v>435</v>
      </c>
      <c r="B53" s="81" t="s">
        <v>496</v>
      </c>
      <c r="C53" s="81">
        <v>25896002</v>
      </c>
      <c r="D53" s="81" t="s">
        <v>481</v>
      </c>
      <c r="E53" s="81" t="s">
        <v>529</v>
      </c>
      <c r="F53" s="81" t="s">
        <v>332</v>
      </c>
      <c r="G53" s="81">
        <v>-5</v>
      </c>
      <c r="I53" s="81">
        <v>-6</v>
      </c>
    </row>
    <row r="55" spans="1:12" x14ac:dyDescent="0.25">
      <c r="A55" s="81" t="s">
        <v>441</v>
      </c>
    </row>
    <row r="56" spans="1:12" x14ac:dyDescent="0.25">
      <c r="A56" s="81" t="s">
        <v>442</v>
      </c>
    </row>
    <row r="58" spans="1:12" x14ac:dyDescent="0.25">
      <c r="A58" s="86" t="s">
        <v>451</v>
      </c>
      <c r="B58" s="86"/>
      <c r="C58" s="86"/>
      <c r="D58" s="86"/>
      <c r="E58" s="86"/>
      <c r="F58" s="86"/>
      <c r="G58" s="86"/>
    </row>
    <row r="59" spans="1:12" x14ac:dyDescent="0.25">
      <c r="A59" s="87" t="s">
        <v>452</v>
      </c>
      <c r="B59" s="87" t="s">
        <v>453</v>
      </c>
      <c r="C59" s="87" t="s">
        <v>454</v>
      </c>
      <c r="D59" s="88" t="s">
        <v>455</v>
      </c>
      <c r="E59" s="87" t="s">
        <v>456</v>
      </c>
      <c r="F59" s="87" t="s">
        <v>457</v>
      </c>
      <c r="G59" s="87" t="s">
        <v>458</v>
      </c>
    </row>
    <row r="60" spans="1:12" x14ac:dyDescent="0.25">
      <c r="A60" s="81" t="s">
        <v>466</v>
      </c>
      <c r="B60" s="81" t="s">
        <v>467</v>
      </c>
      <c r="C60" s="81" t="s">
        <v>461</v>
      </c>
      <c r="D60" s="81" t="s">
        <v>462</v>
      </c>
      <c r="E60" s="81">
        <v>1000</v>
      </c>
      <c r="F60" s="89"/>
      <c r="G60" s="81" t="s">
        <v>530</v>
      </c>
      <c r="L60" s="90"/>
    </row>
    <row r="61" spans="1:12" x14ac:dyDescent="0.25">
      <c r="A61" s="81" t="s">
        <v>531</v>
      </c>
      <c r="B61" s="81" t="s">
        <v>532</v>
      </c>
      <c r="C61" s="81" t="s">
        <v>470</v>
      </c>
      <c r="D61" s="89" t="s">
        <v>471</v>
      </c>
      <c r="E61" s="81">
        <v>100</v>
      </c>
      <c r="G61" s="81" t="s">
        <v>533</v>
      </c>
      <c r="J61" s="90"/>
    </row>
    <row r="62" spans="1:12" x14ac:dyDescent="0.25">
      <c r="A62" s="81" t="s">
        <v>193</v>
      </c>
      <c r="B62" s="81" t="s">
        <v>186</v>
      </c>
      <c r="C62" s="81" t="s">
        <v>470</v>
      </c>
      <c r="D62" s="91" t="s">
        <v>471</v>
      </c>
      <c r="E62" s="81">
        <v>110</v>
      </c>
      <c r="G62" s="81" t="s">
        <v>533</v>
      </c>
    </row>
    <row r="63" spans="1:12" x14ac:dyDescent="0.25">
      <c r="A63" s="81" t="s">
        <v>466</v>
      </c>
      <c r="B63" s="81" t="s">
        <v>467</v>
      </c>
      <c r="C63" s="81" t="s">
        <v>461</v>
      </c>
      <c r="D63" s="81" t="s">
        <v>462</v>
      </c>
      <c r="F63" s="81">
        <f>+E61</f>
        <v>100</v>
      </c>
      <c r="G63" s="81" t="s">
        <v>534</v>
      </c>
      <c r="H63" s="90"/>
    </row>
    <row r="64" spans="1:12" x14ac:dyDescent="0.25">
      <c r="A64" s="81" t="s">
        <v>535</v>
      </c>
      <c r="B64" s="81" t="s">
        <v>536</v>
      </c>
      <c r="C64" s="81" t="s">
        <v>470</v>
      </c>
      <c r="D64" s="91" t="s">
        <v>471</v>
      </c>
      <c r="F64" s="81">
        <v>10</v>
      </c>
      <c r="G64" s="81" t="s">
        <v>533</v>
      </c>
      <c r="J64" s="90"/>
    </row>
    <row r="65" spans="1:10" x14ac:dyDescent="0.25">
      <c r="A65" s="81" t="s">
        <v>193</v>
      </c>
      <c r="B65" s="81" t="s">
        <v>186</v>
      </c>
      <c r="C65" s="81" t="s">
        <v>470</v>
      </c>
      <c r="D65" s="91" t="s">
        <v>471</v>
      </c>
      <c r="F65" s="81">
        <v>1100</v>
      </c>
      <c r="G65" s="81" t="s">
        <v>533</v>
      </c>
      <c r="J65" s="90"/>
    </row>
  </sheetData>
  <mergeCells count="2">
    <mergeCell ref="A1:I1"/>
    <mergeCell ref="A58:G5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8BB0-5B2C-4A82-871E-641F9EB74F42}">
  <dimension ref="A2:S80"/>
  <sheetViews>
    <sheetView zoomScale="80" zoomScaleNormal="80" workbookViewId="0">
      <selection activeCell="A4" sqref="A4"/>
    </sheetView>
  </sheetViews>
  <sheetFormatPr baseColWidth="10" defaultRowHeight="15" x14ac:dyDescent="0.25"/>
  <cols>
    <col min="1" max="1" width="11.42578125" style="81"/>
    <col min="2" max="2" width="22.42578125" style="81" customWidth="1"/>
    <col min="3" max="3" width="39.28515625" style="81" bestFit="1" customWidth="1"/>
    <col min="4" max="4" width="37.28515625" style="81" bestFit="1" customWidth="1"/>
    <col min="5" max="6" width="14.5703125" style="81" bestFit="1" customWidth="1"/>
    <col min="7" max="7" width="16.5703125" style="81" bestFit="1" customWidth="1"/>
    <col min="8" max="8" width="11.42578125" style="81"/>
    <col min="9" max="9" width="12.42578125" style="81" bestFit="1" customWidth="1"/>
    <col min="10" max="16384" width="11.42578125" style="81"/>
  </cols>
  <sheetData>
    <row r="2" spans="1:8" ht="15.75" thickBot="1" x14ac:dyDescent="0.3"/>
    <row r="3" spans="1:8" ht="15.75" thickBot="1" x14ac:dyDescent="0.3">
      <c r="A3" s="92" t="s">
        <v>537</v>
      </c>
      <c r="B3" s="93"/>
      <c r="C3" s="93"/>
      <c r="D3" s="93"/>
      <c r="E3" s="93"/>
      <c r="F3" s="93"/>
      <c r="G3" s="94"/>
    </row>
    <row r="4" spans="1:8" x14ac:dyDescent="0.25">
      <c r="A4" s="82" t="s">
        <v>252</v>
      </c>
      <c r="B4" s="82" t="s">
        <v>475</v>
      </c>
      <c r="C4" s="82" t="s">
        <v>476</v>
      </c>
      <c r="D4" s="82" t="s">
        <v>291</v>
      </c>
      <c r="E4" s="82" t="s">
        <v>21</v>
      </c>
      <c r="F4" s="82" t="s">
        <v>292</v>
      </c>
      <c r="G4" s="83" t="s">
        <v>293</v>
      </c>
      <c r="H4" s="84" t="s">
        <v>477</v>
      </c>
    </row>
    <row r="5" spans="1:8" x14ac:dyDescent="0.25">
      <c r="A5" s="81" t="s">
        <v>479</v>
      </c>
      <c r="B5" s="95">
        <v>115088921</v>
      </c>
      <c r="C5" s="81" t="s">
        <v>481</v>
      </c>
      <c r="D5" s="81" t="s">
        <v>538</v>
      </c>
      <c r="E5" s="81" t="s">
        <v>23</v>
      </c>
      <c r="F5" s="81">
        <v>1</v>
      </c>
      <c r="H5" s="81">
        <f>+F5</f>
        <v>1</v>
      </c>
    </row>
    <row r="6" spans="1:8" x14ac:dyDescent="0.25">
      <c r="A6" s="81" t="s">
        <v>479</v>
      </c>
      <c r="B6" s="95">
        <v>113000521</v>
      </c>
      <c r="C6" s="81" t="s">
        <v>481</v>
      </c>
      <c r="D6" s="81" t="s">
        <v>539</v>
      </c>
      <c r="E6" s="81" t="s">
        <v>23</v>
      </c>
      <c r="F6" s="81">
        <v>1</v>
      </c>
      <c r="H6" s="81">
        <v>1</v>
      </c>
    </row>
    <row r="7" spans="1:8" x14ac:dyDescent="0.25">
      <c r="A7" s="81" t="s">
        <v>479</v>
      </c>
      <c r="B7" s="81">
        <v>115068749</v>
      </c>
      <c r="C7" s="81" t="s">
        <v>481</v>
      </c>
      <c r="D7" s="81" t="s">
        <v>538</v>
      </c>
      <c r="E7" s="81" t="s">
        <v>332</v>
      </c>
      <c r="F7" s="81">
        <v>0.17</v>
      </c>
      <c r="H7" s="81">
        <v>0.2</v>
      </c>
    </row>
    <row r="8" spans="1:8" x14ac:dyDescent="0.25">
      <c r="A8" s="81" t="s">
        <v>479</v>
      </c>
      <c r="B8" s="95">
        <v>113000521</v>
      </c>
      <c r="C8" s="81" t="s">
        <v>476</v>
      </c>
      <c r="D8" s="81" t="s">
        <v>540</v>
      </c>
      <c r="E8" s="81" t="s">
        <v>23</v>
      </c>
      <c r="F8" s="81">
        <v>-1</v>
      </c>
      <c r="H8" s="81">
        <v>-1</v>
      </c>
    </row>
    <row r="9" spans="1:8" x14ac:dyDescent="0.25">
      <c r="A9" s="81" t="s">
        <v>479</v>
      </c>
      <c r="B9" s="95">
        <v>113000521</v>
      </c>
      <c r="C9" s="81" t="s">
        <v>476</v>
      </c>
      <c r="D9" s="81" t="s">
        <v>483</v>
      </c>
    </row>
    <row r="10" spans="1:8" x14ac:dyDescent="0.25">
      <c r="A10" s="81" t="s">
        <v>479</v>
      </c>
      <c r="B10" s="95">
        <v>113000521</v>
      </c>
      <c r="C10" s="81" t="s">
        <v>476</v>
      </c>
      <c r="D10" s="81" t="s">
        <v>541</v>
      </c>
      <c r="E10" s="81" t="s">
        <v>23</v>
      </c>
      <c r="F10" s="81">
        <v>1</v>
      </c>
      <c r="H10" s="81">
        <v>1</v>
      </c>
    </row>
    <row r="11" spans="1:8" x14ac:dyDescent="0.25">
      <c r="A11" s="81" t="s">
        <v>479</v>
      </c>
      <c r="B11" s="95">
        <v>113000521</v>
      </c>
      <c r="C11" s="81" t="s">
        <v>476</v>
      </c>
      <c r="D11" s="81" t="s">
        <v>258</v>
      </c>
      <c r="E11" s="81" t="s">
        <v>23</v>
      </c>
      <c r="F11" s="81">
        <v>1</v>
      </c>
      <c r="H11" s="81">
        <v>1</v>
      </c>
    </row>
    <row r="12" spans="1:8" x14ac:dyDescent="0.25">
      <c r="A12" s="81" t="s">
        <v>479</v>
      </c>
      <c r="B12" s="95">
        <v>113000521</v>
      </c>
      <c r="C12" s="81" t="s">
        <v>476</v>
      </c>
      <c r="D12" s="81" t="s">
        <v>525</v>
      </c>
      <c r="E12" s="81" t="s">
        <v>23</v>
      </c>
      <c r="F12" s="81">
        <v>-1</v>
      </c>
      <c r="H12" s="81">
        <v>-1</v>
      </c>
    </row>
    <row r="13" spans="1:8" x14ac:dyDescent="0.25">
      <c r="A13" s="81" t="s">
        <v>479</v>
      </c>
      <c r="B13" s="95">
        <v>113016461</v>
      </c>
      <c r="C13" s="81" t="s">
        <v>481</v>
      </c>
      <c r="D13" s="81" t="s">
        <v>539</v>
      </c>
      <c r="E13" s="81" t="s">
        <v>23</v>
      </c>
      <c r="F13" s="81">
        <v>500</v>
      </c>
      <c r="H13" s="81">
        <v>500</v>
      </c>
    </row>
    <row r="14" spans="1:8" x14ac:dyDescent="0.25">
      <c r="A14" s="81" t="s">
        <v>479</v>
      </c>
      <c r="B14" s="95">
        <v>113016461</v>
      </c>
      <c r="C14" s="81" t="s">
        <v>476</v>
      </c>
      <c r="D14" s="81" t="s">
        <v>540</v>
      </c>
      <c r="E14" s="81" t="s">
        <v>23</v>
      </c>
      <c r="F14" s="81">
        <v>-1</v>
      </c>
      <c r="H14" s="81">
        <v>1</v>
      </c>
    </row>
    <row r="15" spans="1:8" x14ac:dyDescent="0.25">
      <c r="A15" s="81" t="s">
        <v>479</v>
      </c>
      <c r="B15" s="95">
        <v>113016461</v>
      </c>
      <c r="C15" s="81" t="s">
        <v>476</v>
      </c>
      <c r="D15" s="81" t="s">
        <v>483</v>
      </c>
      <c r="E15" s="81" t="s">
        <v>23</v>
      </c>
      <c r="F15" s="81">
        <v>1</v>
      </c>
      <c r="H15" s="81">
        <v>1</v>
      </c>
    </row>
    <row r="16" spans="1:8" x14ac:dyDescent="0.25">
      <c r="A16" s="81" t="s">
        <v>479</v>
      </c>
      <c r="B16" s="95">
        <v>113016461</v>
      </c>
      <c r="C16" s="81" t="s">
        <v>476</v>
      </c>
      <c r="D16" s="81" t="s">
        <v>542</v>
      </c>
      <c r="E16" s="81" t="s">
        <v>23</v>
      </c>
      <c r="F16" s="81">
        <v>0.5</v>
      </c>
      <c r="H16" s="81">
        <v>0.5</v>
      </c>
    </row>
    <row r="17" spans="1:9" x14ac:dyDescent="0.25">
      <c r="A17" s="81" t="s">
        <v>479</v>
      </c>
      <c r="B17" s="95">
        <v>113016461</v>
      </c>
      <c r="C17" s="81" t="s">
        <v>476</v>
      </c>
      <c r="D17" s="81" t="s">
        <v>258</v>
      </c>
      <c r="E17" s="81" t="s">
        <v>23</v>
      </c>
      <c r="F17" s="81">
        <v>1</v>
      </c>
      <c r="H17" s="81">
        <v>1</v>
      </c>
    </row>
    <row r="18" spans="1:9" x14ac:dyDescent="0.25">
      <c r="A18" s="81" t="s">
        <v>479</v>
      </c>
      <c r="B18" s="95">
        <v>113016461</v>
      </c>
      <c r="C18" s="81" t="s">
        <v>476</v>
      </c>
      <c r="D18" s="81" t="s">
        <v>525</v>
      </c>
      <c r="E18" s="81" t="s">
        <v>23</v>
      </c>
      <c r="F18" s="81">
        <v>-1</v>
      </c>
      <c r="H18" s="81">
        <v>-1</v>
      </c>
    </row>
    <row r="19" spans="1:9" x14ac:dyDescent="0.25">
      <c r="A19" s="96"/>
      <c r="B19" s="96"/>
      <c r="C19" s="96"/>
      <c r="D19" s="96"/>
      <c r="E19" s="96"/>
      <c r="F19" s="96"/>
      <c r="G19" s="96"/>
    </row>
    <row r="20" spans="1:9" x14ac:dyDescent="0.25">
      <c r="A20" s="96"/>
      <c r="B20" s="96"/>
      <c r="C20" s="96"/>
      <c r="D20" s="96"/>
      <c r="E20" s="96"/>
      <c r="F20" s="96"/>
      <c r="G20" s="96"/>
    </row>
    <row r="21" spans="1:9" x14ac:dyDescent="0.25">
      <c r="A21" s="96"/>
      <c r="B21" s="96"/>
      <c r="C21" s="96"/>
      <c r="D21" s="96"/>
      <c r="E21" s="96"/>
      <c r="F21" s="96"/>
      <c r="G21" s="96"/>
    </row>
    <row r="22" spans="1:9" x14ac:dyDescent="0.25">
      <c r="A22" s="97" t="s">
        <v>543</v>
      </c>
      <c r="B22" s="97"/>
      <c r="C22" s="97"/>
      <c r="D22" s="97"/>
      <c r="E22" s="97"/>
      <c r="F22" s="97"/>
      <c r="G22" s="97"/>
      <c r="H22" s="97"/>
      <c r="I22" s="97"/>
    </row>
    <row r="23" spans="1:9" x14ac:dyDescent="0.25">
      <c r="A23" s="83"/>
      <c r="B23" s="83" t="s">
        <v>252</v>
      </c>
      <c r="C23" s="83" t="s">
        <v>291</v>
      </c>
      <c r="D23" s="83" t="s">
        <v>21</v>
      </c>
      <c r="E23" s="83" t="s">
        <v>292</v>
      </c>
      <c r="F23" s="83" t="s">
        <v>293</v>
      </c>
      <c r="G23" s="84" t="s">
        <v>389</v>
      </c>
      <c r="H23" s="84" t="s">
        <v>290</v>
      </c>
      <c r="I23" s="98">
        <f>+SUM(G25:G69)</f>
        <v>1670528.0223519655</v>
      </c>
    </row>
    <row r="24" spans="1:9" x14ac:dyDescent="0.25">
      <c r="A24" s="83" t="s">
        <v>390</v>
      </c>
    </row>
    <row r="25" spans="1:9" x14ac:dyDescent="0.25">
      <c r="B25" s="81" t="s">
        <v>391</v>
      </c>
      <c r="C25" s="81" t="s">
        <v>392</v>
      </c>
      <c r="D25" s="81" t="s">
        <v>23</v>
      </c>
      <c r="E25" s="99">
        <v>100</v>
      </c>
      <c r="F25" s="90">
        <v>11703.009829710647</v>
      </c>
      <c r="G25" s="90">
        <f>+F25*E25</f>
        <v>1170300.9829710647</v>
      </c>
    </row>
    <row r="27" spans="1:9" x14ac:dyDescent="0.25">
      <c r="B27" s="81" t="s">
        <v>393</v>
      </c>
      <c r="C27" s="81" t="s">
        <v>394</v>
      </c>
      <c r="D27" s="81" t="s">
        <v>23</v>
      </c>
      <c r="E27" s="99">
        <v>100</v>
      </c>
      <c r="F27" s="81">
        <v>0.95143681318681328</v>
      </c>
      <c r="G27" s="90">
        <f>+F27*E27</f>
        <v>95.143681318681331</v>
      </c>
    </row>
    <row r="28" spans="1:9" x14ac:dyDescent="0.25">
      <c r="C28" s="81" t="s">
        <v>394</v>
      </c>
      <c r="D28" s="81" t="s">
        <v>23</v>
      </c>
      <c r="E28" s="99">
        <v>100</v>
      </c>
      <c r="F28" s="81">
        <v>0.9846443609022556</v>
      </c>
      <c r="G28" s="90">
        <f>+F28*E28</f>
        <v>98.464436090225561</v>
      </c>
    </row>
    <row r="30" spans="1:9" x14ac:dyDescent="0.25">
      <c r="B30" s="81" t="s">
        <v>395</v>
      </c>
      <c r="C30" s="81" t="s">
        <v>396</v>
      </c>
      <c r="D30" s="81" t="s">
        <v>23</v>
      </c>
      <c r="E30" s="99">
        <v>100</v>
      </c>
      <c r="F30" s="81">
        <v>1.0049825000000001</v>
      </c>
      <c r="G30" s="90">
        <f t="shared" ref="G30:G41" si="0">+F30*E30</f>
        <v>100.49825000000001</v>
      </c>
    </row>
    <row r="31" spans="1:9" x14ac:dyDescent="0.25">
      <c r="C31" s="81" t="s">
        <v>397</v>
      </c>
      <c r="D31" s="81" t="s">
        <v>23</v>
      </c>
      <c r="E31" s="99">
        <v>100</v>
      </c>
      <c r="F31" s="81">
        <v>0.99125521739130451</v>
      </c>
      <c r="G31" s="90">
        <f t="shared" si="0"/>
        <v>99.125521739130448</v>
      </c>
    </row>
    <row r="32" spans="1:9" x14ac:dyDescent="0.25">
      <c r="C32" s="81" t="s">
        <v>398</v>
      </c>
      <c r="D32" s="81" t="s">
        <v>23</v>
      </c>
      <c r="E32" s="99">
        <v>100</v>
      </c>
      <c r="F32" s="81">
        <v>1.0144189473684211</v>
      </c>
      <c r="G32" s="90">
        <f t="shared" si="0"/>
        <v>101.4418947368421</v>
      </c>
    </row>
    <row r="33" spans="2:7" x14ac:dyDescent="0.25">
      <c r="C33" s="81" t="s">
        <v>399</v>
      </c>
      <c r="D33" s="81" t="s">
        <v>23</v>
      </c>
      <c r="E33" s="99">
        <v>100</v>
      </c>
      <c r="F33" s="81">
        <v>0.99298999999999993</v>
      </c>
      <c r="G33" s="90">
        <f t="shared" si="0"/>
        <v>99.298999999999992</v>
      </c>
    </row>
    <row r="34" spans="2:7" x14ac:dyDescent="0.25">
      <c r="C34" s="81" t="s">
        <v>400</v>
      </c>
      <c r="D34" s="81" t="s">
        <v>23</v>
      </c>
      <c r="E34" s="99">
        <v>100</v>
      </c>
      <c r="F34" s="81">
        <v>1.0282531578947367</v>
      </c>
      <c r="G34" s="90">
        <f t="shared" si="0"/>
        <v>102.82531578947368</v>
      </c>
    </row>
    <row r="35" spans="2:7" x14ac:dyDescent="0.25">
      <c r="C35" s="81" t="s">
        <v>401</v>
      </c>
      <c r="D35" s="81" t="s">
        <v>23</v>
      </c>
      <c r="E35" s="99">
        <v>100</v>
      </c>
      <c r="F35" s="81">
        <v>0.98645937500000003</v>
      </c>
      <c r="G35" s="90">
        <f t="shared" si="0"/>
        <v>98.645937500000002</v>
      </c>
    </row>
    <row r="36" spans="2:7" x14ac:dyDescent="0.25">
      <c r="C36" s="81" t="s">
        <v>402</v>
      </c>
      <c r="D36" s="81" t="s">
        <v>23</v>
      </c>
      <c r="E36" s="99">
        <v>100</v>
      </c>
      <c r="F36" s="81">
        <v>1.01092</v>
      </c>
      <c r="G36" s="90">
        <f t="shared" si="0"/>
        <v>101.092</v>
      </c>
    </row>
    <row r="37" spans="2:7" x14ac:dyDescent="0.25">
      <c r="C37" s="81" t="s">
        <v>403</v>
      </c>
      <c r="D37" s="81" t="s">
        <v>23</v>
      </c>
      <c r="E37" s="99">
        <v>100</v>
      </c>
      <c r="F37" s="81">
        <v>0.90385119047619045</v>
      </c>
      <c r="G37" s="90">
        <f t="shared" si="0"/>
        <v>90.385119047619042</v>
      </c>
    </row>
    <row r="38" spans="2:7" x14ac:dyDescent="0.25">
      <c r="C38" s="81" t="s">
        <v>404</v>
      </c>
      <c r="D38" s="81" t="s">
        <v>23</v>
      </c>
      <c r="E38" s="99">
        <v>100</v>
      </c>
      <c r="F38" s="81">
        <v>1.0127127272727272</v>
      </c>
      <c r="G38" s="90">
        <f t="shared" si="0"/>
        <v>101.27127272727272</v>
      </c>
    </row>
    <row r="39" spans="2:7" x14ac:dyDescent="0.25">
      <c r="C39" s="81" t="s">
        <v>405</v>
      </c>
      <c r="D39" s="81" t="s">
        <v>23</v>
      </c>
      <c r="E39" s="99">
        <v>100</v>
      </c>
      <c r="F39" s="81">
        <v>1.0345221739130435</v>
      </c>
      <c r="G39" s="90">
        <f t="shared" si="0"/>
        <v>103.45221739130434</v>
      </c>
    </row>
    <row r="40" spans="2:7" x14ac:dyDescent="0.25">
      <c r="C40" s="81" t="s">
        <v>406</v>
      </c>
      <c r="D40" s="81" t="s">
        <v>23</v>
      </c>
      <c r="E40" s="99">
        <v>100</v>
      </c>
      <c r="F40" s="81">
        <v>1.0510942857142858</v>
      </c>
      <c r="G40" s="90">
        <f t="shared" si="0"/>
        <v>105.10942857142858</v>
      </c>
    </row>
    <row r="41" spans="2:7" x14ac:dyDescent="0.25">
      <c r="C41" s="81" t="s">
        <v>407</v>
      </c>
      <c r="D41" s="81" t="s">
        <v>23</v>
      </c>
      <c r="E41" s="99">
        <v>100</v>
      </c>
      <c r="F41" s="81">
        <v>1.0471299999999999</v>
      </c>
      <c r="G41" s="90">
        <f t="shared" si="0"/>
        <v>104.71299999999999</v>
      </c>
    </row>
    <row r="42" spans="2:7" x14ac:dyDescent="0.25">
      <c r="E42" s="90"/>
      <c r="G42" s="90"/>
    </row>
    <row r="43" spans="2:7" x14ac:dyDescent="0.25">
      <c r="B43" s="81" t="s">
        <v>408</v>
      </c>
      <c r="C43" s="81" t="s">
        <v>409</v>
      </c>
      <c r="D43" s="81" t="s">
        <v>23</v>
      </c>
      <c r="E43" s="99">
        <v>100</v>
      </c>
      <c r="F43" s="81">
        <v>0.93932249999999995</v>
      </c>
      <c r="G43" s="90">
        <f>+F43*E43</f>
        <v>93.932249999999996</v>
      </c>
    </row>
    <row r="44" spans="2:7" x14ac:dyDescent="0.25">
      <c r="G44" s="90"/>
    </row>
    <row r="45" spans="2:7" x14ac:dyDescent="0.25">
      <c r="B45" s="81" t="s">
        <v>410</v>
      </c>
      <c r="C45" s="81" t="s">
        <v>411</v>
      </c>
      <c r="D45" s="81" t="s">
        <v>23</v>
      </c>
      <c r="E45" s="99">
        <v>100</v>
      </c>
      <c r="F45" s="100">
        <v>13.277698877435498</v>
      </c>
      <c r="G45" s="90">
        <f>+F45*E45</f>
        <v>1327.7698877435498</v>
      </c>
    </row>
    <row r="46" spans="2:7" x14ac:dyDescent="0.25">
      <c r="C46" s="81" t="s">
        <v>412</v>
      </c>
      <c r="D46" s="81" t="s">
        <v>23</v>
      </c>
      <c r="E46" s="99">
        <v>100</v>
      </c>
      <c r="F46" s="100">
        <v>252.62998641862225</v>
      </c>
      <c r="G46" s="90">
        <f>+F46*E46</f>
        <v>25262.998641862225</v>
      </c>
    </row>
    <row r="47" spans="2:7" x14ac:dyDescent="0.25">
      <c r="C47" s="81" t="s">
        <v>413</v>
      </c>
      <c r="D47" s="81" t="s">
        <v>23</v>
      </c>
      <c r="E47" s="99">
        <v>100</v>
      </c>
      <c r="F47" s="100">
        <v>148.30001402604069</v>
      </c>
      <c r="G47" s="90">
        <f>+F47*E47</f>
        <v>14830.001402604068</v>
      </c>
    </row>
    <row r="48" spans="2:7" x14ac:dyDescent="0.25">
      <c r="C48" s="81" t="s">
        <v>414</v>
      </c>
      <c r="D48" s="81" t="s">
        <v>23</v>
      </c>
      <c r="E48" s="99">
        <v>100</v>
      </c>
      <c r="F48" s="100">
        <v>7.1099999999999994</v>
      </c>
      <c r="G48" s="90">
        <f>+F48*E48</f>
        <v>711</v>
      </c>
    </row>
    <row r="49" spans="2:7" x14ac:dyDescent="0.25">
      <c r="C49" s="81" t="s">
        <v>415</v>
      </c>
      <c r="D49" s="81" t="s">
        <v>23</v>
      </c>
      <c r="E49" s="99">
        <v>100</v>
      </c>
      <c r="F49" s="100">
        <v>16.440799545162069</v>
      </c>
      <c r="G49" s="90">
        <f>+F49*E49</f>
        <v>1644.079954516207</v>
      </c>
    </row>
    <row r="50" spans="2:7" x14ac:dyDescent="0.25">
      <c r="F50" s="100"/>
      <c r="G50" s="90"/>
    </row>
    <row r="51" spans="2:7" x14ac:dyDescent="0.25">
      <c r="B51" s="81" t="s">
        <v>416</v>
      </c>
      <c r="C51" s="81" t="s">
        <v>417</v>
      </c>
      <c r="D51" s="81" t="s">
        <v>23</v>
      </c>
      <c r="E51" s="99">
        <v>100</v>
      </c>
      <c r="F51" s="100">
        <v>126.16010222673303</v>
      </c>
      <c r="G51" s="90">
        <f>+F51*E51</f>
        <v>12616.010222673303</v>
      </c>
    </row>
    <row r="52" spans="2:7" x14ac:dyDescent="0.25">
      <c r="C52" s="81" t="s">
        <v>418</v>
      </c>
      <c r="D52" s="81" t="s">
        <v>23</v>
      </c>
      <c r="E52" s="99">
        <v>100</v>
      </c>
      <c r="F52" s="100">
        <v>193.20001462897267</v>
      </c>
      <c r="G52" s="90">
        <f>+F52*E52</f>
        <v>19320.001462897268</v>
      </c>
    </row>
    <row r="53" spans="2:7" x14ac:dyDescent="0.25">
      <c r="C53" s="81" t="s">
        <v>419</v>
      </c>
      <c r="D53" s="81" t="s">
        <v>23</v>
      </c>
      <c r="E53" s="99">
        <v>100</v>
      </c>
      <c r="F53" s="100">
        <v>14.600000569276707</v>
      </c>
      <c r="G53" s="90">
        <f>+F53*E53</f>
        <v>1460.0000569276708</v>
      </c>
    </row>
    <row r="54" spans="2:7" x14ac:dyDescent="0.25">
      <c r="F54" s="100"/>
      <c r="G54" s="90"/>
    </row>
    <row r="55" spans="2:7" x14ac:dyDescent="0.25">
      <c r="B55" s="81" t="s">
        <v>420</v>
      </c>
      <c r="C55" s="81" t="s">
        <v>421</v>
      </c>
      <c r="D55" s="81" t="s">
        <v>23</v>
      </c>
      <c r="E55" s="99">
        <v>100</v>
      </c>
      <c r="F55" s="101">
        <v>1735.0100950118765</v>
      </c>
      <c r="G55" s="90">
        <f>+F55*E55</f>
        <v>173501.00950118765</v>
      </c>
    </row>
    <row r="56" spans="2:7" x14ac:dyDescent="0.25">
      <c r="C56" s="81" t="s">
        <v>422</v>
      </c>
      <c r="D56" s="81" t="s">
        <v>23</v>
      </c>
      <c r="E56" s="99">
        <v>100</v>
      </c>
      <c r="F56" s="101">
        <v>564.66999999999996</v>
      </c>
      <c r="G56" s="90">
        <f>+F56*E56</f>
        <v>56466.999999999993</v>
      </c>
    </row>
    <row r="57" spans="2:7" x14ac:dyDescent="0.25">
      <c r="C57" s="81" t="s">
        <v>423</v>
      </c>
      <c r="D57" s="81" t="s">
        <v>23</v>
      </c>
      <c r="E57" s="99">
        <v>100</v>
      </c>
      <c r="F57" s="101">
        <v>183.37</v>
      </c>
      <c r="G57" s="90">
        <f>+F57*E57</f>
        <v>18337</v>
      </c>
    </row>
    <row r="58" spans="2:7" x14ac:dyDescent="0.25">
      <c r="C58" s="81" t="s">
        <v>424</v>
      </c>
      <c r="D58" s="81" t="s">
        <v>23</v>
      </c>
      <c r="E58" s="99">
        <v>100</v>
      </c>
      <c r="F58" s="101">
        <v>631.36</v>
      </c>
      <c r="G58" s="90">
        <f>+F58*E58</f>
        <v>63136</v>
      </c>
    </row>
    <row r="59" spans="2:7" x14ac:dyDescent="0.25">
      <c r="C59" s="81" t="s">
        <v>425</v>
      </c>
      <c r="D59" s="81" t="s">
        <v>23</v>
      </c>
      <c r="E59" s="99">
        <v>100</v>
      </c>
      <c r="F59" s="101">
        <v>580.47</v>
      </c>
      <c r="G59" s="90">
        <f>+F59*E59</f>
        <v>58047</v>
      </c>
    </row>
    <row r="60" spans="2:7" x14ac:dyDescent="0.25">
      <c r="G60" s="90"/>
    </row>
    <row r="61" spans="2:7" x14ac:dyDescent="0.25">
      <c r="B61" s="81" t="s">
        <v>426</v>
      </c>
      <c r="C61" s="81" t="s">
        <v>427</v>
      </c>
      <c r="D61" s="81" t="s">
        <v>23</v>
      </c>
      <c r="E61" s="99">
        <v>100</v>
      </c>
      <c r="F61" s="101">
        <v>112.61228260869565</v>
      </c>
      <c r="G61" s="90">
        <f>+F61*E61</f>
        <v>11261.228260869566</v>
      </c>
    </row>
    <row r="62" spans="2:7" x14ac:dyDescent="0.25">
      <c r="C62" s="81" t="s">
        <v>428</v>
      </c>
      <c r="D62" s="81" t="s">
        <v>23</v>
      </c>
      <c r="E62" s="99">
        <v>100</v>
      </c>
      <c r="F62" s="101">
        <v>32.69000047716014</v>
      </c>
      <c r="G62" s="90">
        <f>+F62*E62</f>
        <v>3269.0000477160138</v>
      </c>
    </row>
    <row r="63" spans="2:7" x14ac:dyDescent="0.25">
      <c r="G63" s="90"/>
    </row>
    <row r="64" spans="2:7" x14ac:dyDescent="0.25">
      <c r="B64" s="81" t="s">
        <v>416</v>
      </c>
      <c r="C64" s="81" t="s">
        <v>429</v>
      </c>
      <c r="D64" s="81" t="s">
        <v>23</v>
      </c>
      <c r="E64" s="99">
        <v>100</v>
      </c>
      <c r="F64" s="101">
        <v>61.995003223726627</v>
      </c>
      <c r="G64" s="90">
        <f>+F64*E64</f>
        <v>6199.5003223726626</v>
      </c>
    </row>
    <row r="65" spans="1:19" x14ac:dyDescent="0.25">
      <c r="C65" s="81" t="s">
        <v>430</v>
      </c>
      <c r="D65" s="81" t="s">
        <v>23</v>
      </c>
      <c r="E65" s="99">
        <v>100</v>
      </c>
      <c r="F65" s="101">
        <v>48.555008912655971</v>
      </c>
      <c r="G65" s="90">
        <f>+F65*E65</f>
        <v>4855.5008912655967</v>
      </c>
    </row>
    <row r="66" spans="1:19" x14ac:dyDescent="0.25">
      <c r="G66" s="90"/>
    </row>
    <row r="67" spans="1:19" x14ac:dyDescent="0.25">
      <c r="B67" s="81" t="s">
        <v>431</v>
      </c>
      <c r="C67" s="81" t="s">
        <v>432</v>
      </c>
      <c r="D67" s="81" t="s">
        <v>23</v>
      </c>
      <c r="E67" s="99">
        <v>100</v>
      </c>
      <c r="F67" s="101">
        <v>147.0099925360945</v>
      </c>
      <c r="G67" s="90">
        <f>+F67*E67</f>
        <v>14700.999253609451</v>
      </c>
    </row>
    <row r="69" spans="1:19" x14ac:dyDescent="0.25">
      <c r="A69" s="81" t="s">
        <v>433</v>
      </c>
      <c r="B69" s="81" t="s">
        <v>431</v>
      </c>
      <c r="C69" s="81" t="s">
        <v>434</v>
      </c>
      <c r="D69" s="81" t="s">
        <v>23</v>
      </c>
      <c r="E69" s="99">
        <v>100</v>
      </c>
      <c r="F69" s="101">
        <v>117.85540149742651</v>
      </c>
      <c r="G69" s="90">
        <f>+F69*E69</f>
        <v>11785.540149742652</v>
      </c>
    </row>
    <row r="71" spans="1:19" x14ac:dyDescent="0.25">
      <c r="A71" s="86" t="s">
        <v>451</v>
      </c>
      <c r="B71" s="86"/>
      <c r="C71" s="86"/>
      <c r="D71" s="86"/>
      <c r="E71" s="86"/>
      <c r="F71" s="86"/>
      <c r="G71" s="86"/>
    </row>
    <row r="72" spans="1:19" x14ac:dyDescent="0.25">
      <c r="A72" s="87" t="s">
        <v>452</v>
      </c>
      <c r="B72" s="87" t="s">
        <v>453</v>
      </c>
      <c r="C72" s="87" t="s">
        <v>454</v>
      </c>
      <c r="D72" s="88" t="s">
        <v>455</v>
      </c>
      <c r="E72" s="87" t="s">
        <v>456</v>
      </c>
      <c r="F72" s="87" t="s">
        <v>457</v>
      </c>
      <c r="G72" s="87" t="s">
        <v>458</v>
      </c>
    </row>
    <row r="73" spans="1:19" x14ac:dyDescent="0.25">
      <c r="A73" s="81" t="s">
        <v>191</v>
      </c>
      <c r="B73" s="81" t="s">
        <v>192</v>
      </c>
      <c r="C73" s="81" t="s">
        <v>544</v>
      </c>
      <c r="D73" s="81" t="s">
        <v>545</v>
      </c>
      <c r="E73" s="90">
        <v>100</v>
      </c>
      <c r="F73" s="90"/>
      <c r="G73" s="81" t="s">
        <v>546</v>
      </c>
      <c r="J73" s="89"/>
      <c r="M73" s="89"/>
      <c r="S73" s="90"/>
    </row>
    <row r="74" spans="1:19" x14ac:dyDescent="0.25">
      <c r="A74" s="81" t="s">
        <v>468</v>
      </c>
      <c r="B74" s="81" t="s">
        <v>469</v>
      </c>
      <c r="C74" s="81" t="s">
        <v>544</v>
      </c>
      <c r="D74" s="81" t="s">
        <v>545</v>
      </c>
      <c r="E74" s="90"/>
      <c r="F74" s="90">
        <v>10</v>
      </c>
      <c r="G74" s="81" t="s">
        <v>547</v>
      </c>
      <c r="M74" s="90"/>
    </row>
    <row r="75" spans="1:19" x14ac:dyDescent="0.25">
      <c r="A75" s="81" t="s">
        <v>193</v>
      </c>
      <c r="B75" s="81" t="s">
        <v>186</v>
      </c>
      <c r="C75" s="81" t="s">
        <v>544</v>
      </c>
      <c r="D75" s="81" t="s">
        <v>545</v>
      </c>
      <c r="E75" s="90"/>
      <c r="F75" s="90">
        <v>80</v>
      </c>
      <c r="G75" s="81" t="s">
        <v>547</v>
      </c>
      <c r="J75" s="90"/>
    </row>
    <row r="76" spans="1:19" x14ac:dyDescent="0.25">
      <c r="A76" s="81" t="s">
        <v>535</v>
      </c>
      <c r="B76" s="81" t="s">
        <v>536</v>
      </c>
      <c r="C76" s="81" t="s">
        <v>544</v>
      </c>
      <c r="D76" s="81" t="s">
        <v>545</v>
      </c>
      <c r="E76" s="90"/>
      <c r="F76" s="90">
        <v>10</v>
      </c>
      <c r="G76" s="81" t="s">
        <v>547</v>
      </c>
      <c r="M76" s="90"/>
    </row>
    <row r="77" spans="1:19" x14ac:dyDescent="0.25">
      <c r="E77" s="90"/>
      <c r="F77" s="90"/>
      <c r="H77" s="90"/>
    </row>
    <row r="78" spans="1:19" x14ac:dyDescent="0.25">
      <c r="E78" s="90"/>
      <c r="F78" s="90"/>
      <c r="H78" s="90"/>
    </row>
    <row r="79" spans="1:19" x14ac:dyDescent="0.25">
      <c r="F79" s="90"/>
    </row>
    <row r="80" spans="1:19" x14ac:dyDescent="0.25">
      <c r="F80" s="90"/>
    </row>
  </sheetData>
  <mergeCells count="3">
    <mergeCell ref="A3:G3"/>
    <mergeCell ref="A22:I22"/>
    <mergeCell ref="A71:G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Información pendiente</vt:lpstr>
      <vt:lpstr>Asiento Inversiones - Génerico </vt:lpstr>
      <vt:lpstr>MEP</vt:lpstr>
      <vt:lpstr>Record general inversiones</vt:lpstr>
      <vt:lpstr>Diagrama inicial</vt:lpstr>
      <vt:lpstr>Plazo fijo</vt:lpstr>
      <vt:lpstr>Fondo de inversion </vt:lpstr>
      <vt:lpstr>Inversiones no corrientes</vt:lpstr>
      <vt:lpstr>Bono</vt:lpstr>
      <vt:lpstr>Acciones (PENDIENTE REVISIÓN UC</vt:lpstr>
      <vt:lpstr>Renta variable (PENDIENTE REVIS</vt:lpstr>
      <vt:lpstr>CASH</vt:lpstr>
      <vt:lpstr>Fundraising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Maris Garcia</cp:lastModifiedBy>
  <dcterms:created xsi:type="dcterms:W3CDTF">2025-09-10T12:26:44Z</dcterms:created>
  <dcterms:modified xsi:type="dcterms:W3CDTF">2025-09-19T20:29:01Z</dcterms:modified>
</cp:coreProperties>
</file>